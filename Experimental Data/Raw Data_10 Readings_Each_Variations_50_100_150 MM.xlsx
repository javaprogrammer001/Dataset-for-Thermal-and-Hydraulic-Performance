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D Journey\New folder\FILES\Agent Research\RCS\"/>
    </mc:Choice>
  </mc:AlternateContent>
  <bookViews>
    <workbookView xWindow="0" yWindow="0" windowWidth="23040" windowHeight="9780"/>
  </bookViews>
  <sheets>
    <sheet name="Variations" sheetId="1" r:id="rId1"/>
    <sheet name="50 MM" sheetId="2" r:id="rId2"/>
    <sheet name="100 MM" sheetId="3" r:id="rId3"/>
    <sheet name="150 MM" sheetId="4" r:id="rId4"/>
  </sheets>
  <calcPr calcId="162913"/>
</workbook>
</file>

<file path=xl/calcChain.xml><?xml version="1.0" encoding="utf-8"?>
<calcChain xmlns="http://schemas.openxmlformats.org/spreadsheetml/2006/main">
  <c r="E330" i="4" l="1"/>
  <c r="D330" i="4"/>
  <c r="C330" i="4"/>
  <c r="E329" i="4"/>
  <c r="D329" i="4"/>
  <c r="C329" i="4"/>
  <c r="D328" i="4"/>
  <c r="C328" i="4"/>
  <c r="E328" i="4" s="1"/>
  <c r="D327" i="4"/>
  <c r="C327" i="4"/>
  <c r="E327" i="4" s="1"/>
  <c r="E326" i="4"/>
  <c r="D326" i="4"/>
  <c r="C326" i="4"/>
  <c r="E325" i="4"/>
  <c r="D325" i="4"/>
  <c r="C325" i="4"/>
  <c r="D324" i="4"/>
  <c r="C324" i="4"/>
  <c r="E324" i="4" s="1"/>
  <c r="D323" i="4"/>
  <c r="C323" i="4"/>
  <c r="E323" i="4" s="1"/>
  <c r="E322" i="4"/>
  <c r="D322" i="4"/>
  <c r="C322" i="4"/>
  <c r="E321" i="4"/>
  <c r="D321" i="4"/>
  <c r="C321" i="4"/>
  <c r="D319" i="4"/>
  <c r="C319" i="4"/>
  <c r="E319" i="4" s="1"/>
  <c r="D318" i="4"/>
  <c r="C318" i="4"/>
  <c r="E318" i="4" s="1"/>
  <c r="E317" i="4"/>
  <c r="D317" i="4"/>
  <c r="C317" i="4"/>
  <c r="E316" i="4"/>
  <c r="D316" i="4"/>
  <c r="C316" i="4"/>
  <c r="D315" i="4"/>
  <c r="C315" i="4"/>
  <c r="E315" i="4" s="1"/>
  <c r="D314" i="4"/>
  <c r="C314" i="4"/>
  <c r="E314" i="4" s="1"/>
  <c r="E313" i="4"/>
  <c r="D313" i="4"/>
  <c r="C313" i="4"/>
  <c r="E312" i="4"/>
  <c r="D312" i="4"/>
  <c r="C312" i="4"/>
  <c r="D311" i="4"/>
  <c r="C311" i="4"/>
  <c r="E311" i="4" s="1"/>
  <c r="D310" i="4"/>
  <c r="C310" i="4"/>
  <c r="E310" i="4" s="1"/>
  <c r="E308" i="4"/>
  <c r="D308" i="4"/>
  <c r="C308" i="4"/>
  <c r="E307" i="4"/>
  <c r="D307" i="4"/>
  <c r="C307" i="4"/>
  <c r="D306" i="4"/>
  <c r="C306" i="4"/>
  <c r="E306" i="4" s="1"/>
  <c r="D305" i="4"/>
  <c r="C305" i="4"/>
  <c r="E305" i="4" s="1"/>
  <c r="E304" i="4"/>
  <c r="D304" i="4"/>
  <c r="C304" i="4"/>
  <c r="E303" i="4"/>
  <c r="D303" i="4"/>
  <c r="C303" i="4"/>
  <c r="D302" i="4"/>
  <c r="C302" i="4"/>
  <c r="E302" i="4" s="1"/>
  <c r="D301" i="4"/>
  <c r="C301" i="4"/>
  <c r="E301" i="4" s="1"/>
  <c r="E300" i="4"/>
  <c r="D300" i="4"/>
  <c r="C300" i="4"/>
  <c r="E299" i="4"/>
  <c r="D299" i="4"/>
  <c r="C299" i="4"/>
  <c r="D297" i="4"/>
  <c r="C297" i="4"/>
  <c r="E297" i="4" s="1"/>
  <c r="D296" i="4"/>
  <c r="C296" i="4"/>
  <c r="E296" i="4" s="1"/>
  <c r="E295" i="4"/>
  <c r="D295" i="4"/>
  <c r="C295" i="4"/>
  <c r="E294" i="4"/>
  <c r="D294" i="4"/>
  <c r="C294" i="4"/>
  <c r="D293" i="4"/>
  <c r="C293" i="4"/>
  <c r="E293" i="4" s="1"/>
  <c r="D292" i="4"/>
  <c r="C292" i="4"/>
  <c r="E292" i="4" s="1"/>
  <c r="E291" i="4"/>
  <c r="D291" i="4"/>
  <c r="C291" i="4"/>
  <c r="E290" i="4"/>
  <c r="D290" i="4"/>
  <c r="C290" i="4"/>
  <c r="D289" i="4"/>
  <c r="C289" i="4"/>
  <c r="E289" i="4" s="1"/>
  <c r="D288" i="4"/>
  <c r="C288" i="4"/>
  <c r="E288" i="4" s="1"/>
  <c r="E286" i="4"/>
  <c r="E285" i="4"/>
  <c r="E284" i="4"/>
  <c r="E283" i="4"/>
  <c r="E282" i="4"/>
  <c r="E281" i="4"/>
  <c r="E280" i="4"/>
  <c r="E279" i="4"/>
  <c r="E278" i="4"/>
  <c r="E277" i="4"/>
  <c r="E275" i="4"/>
  <c r="D275" i="4"/>
  <c r="C275" i="4"/>
  <c r="D274" i="4"/>
  <c r="C274" i="4"/>
  <c r="E274" i="4" s="1"/>
  <c r="D273" i="4"/>
  <c r="C273" i="4"/>
  <c r="E273" i="4" s="1"/>
  <c r="D272" i="4"/>
  <c r="C272" i="4"/>
  <c r="E272" i="4" s="1"/>
  <c r="E271" i="4"/>
  <c r="D271" i="4"/>
  <c r="C271" i="4"/>
  <c r="D270" i="4"/>
  <c r="C270" i="4"/>
  <c r="E270" i="4" s="1"/>
  <c r="D269" i="4"/>
  <c r="C269" i="4"/>
  <c r="E269" i="4" s="1"/>
  <c r="D268" i="4"/>
  <c r="C268" i="4"/>
  <c r="E268" i="4" s="1"/>
  <c r="E267" i="4"/>
  <c r="D267" i="4"/>
  <c r="C267" i="4"/>
  <c r="D266" i="4"/>
  <c r="C266" i="4"/>
  <c r="E266" i="4" s="1"/>
  <c r="D264" i="4"/>
  <c r="C264" i="4"/>
  <c r="E264" i="4" s="1"/>
  <c r="D263" i="4"/>
  <c r="C263" i="4"/>
  <c r="E263" i="4" s="1"/>
  <c r="D262" i="4"/>
  <c r="E262" i="4" s="1"/>
  <c r="C262" i="4"/>
  <c r="D261" i="4"/>
  <c r="C261" i="4"/>
  <c r="E261" i="4" s="1"/>
  <c r="D260" i="4"/>
  <c r="C260" i="4"/>
  <c r="E260" i="4" s="1"/>
  <c r="D259" i="4"/>
  <c r="C259" i="4"/>
  <c r="E259" i="4" s="1"/>
  <c r="D258" i="4"/>
  <c r="E258" i="4" s="1"/>
  <c r="C258" i="4"/>
  <c r="D257" i="4"/>
  <c r="C257" i="4"/>
  <c r="E257" i="4" s="1"/>
  <c r="D256" i="4"/>
  <c r="C256" i="4"/>
  <c r="E256" i="4" s="1"/>
  <c r="D255" i="4"/>
  <c r="C255" i="4"/>
  <c r="E255" i="4" s="1"/>
  <c r="D253" i="4"/>
  <c r="E253" i="4" s="1"/>
  <c r="C253" i="4"/>
  <c r="D252" i="4"/>
  <c r="C252" i="4"/>
  <c r="E252" i="4" s="1"/>
  <c r="D251" i="4"/>
  <c r="C251" i="4"/>
  <c r="E251" i="4" s="1"/>
  <c r="D250" i="4"/>
  <c r="C250" i="4"/>
  <c r="E250" i="4" s="1"/>
  <c r="D249" i="4"/>
  <c r="E249" i="4" s="1"/>
  <c r="C249" i="4"/>
  <c r="D248" i="4"/>
  <c r="C248" i="4"/>
  <c r="E248" i="4" s="1"/>
  <c r="D247" i="4"/>
  <c r="C247" i="4"/>
  <c r="E247" i="4" s="1"/>
  <c r="D246" i="4"/>
  <c r="C246" i="4"/>
  <c r="E246" i="4" s="1"/>
  <c r="D245" i="4"/>
  <c r="E245" i="4" s="1"/>
  <c r="C245" i="4"/>
  <c r="D244" i="4"/>
  <c r="C244" i="4"/>
  <c r="E244" i="4" s="1"/>
  <c r="E242" i="4"/>
  <c r="E241" i="4"/>
  <c r="E240" i="4"/>
  <c r="E239" i="4"/>
  <c r="E238" i="4"/>
  <c r="E237" i="4"/>
  <c r="E236" i="4"/>
  <c r="E235" i="4"/>
  <c r="E234" i="4"/>
  <c r="E233" i="4"/>
  <c r="E231" i="4"/>
  <c r="E230" i="4"/>
  <c r="E229" i="4"/>
  <c r="E228" i="4"/>
  <c r="E227" i="4"/>
  <c r="E226" i="4"/>
  <c r="E225" i="4"/>
  <c r="E224" i="4"/>
  <c r="E223" i="4"/>
  <c r="E222" i="4"/>
  <c r="E220" i="4"/>
  <c r="E219" i="4"/>
  <c r="E218" i="4"/>
  <c r="E217" i="4"/>
  <c r="E216" i="4"/>
  <c r="E215" i="4"/>
  <c r="E214" i="4"/>
  <c r="E213" i="4"/>
  <c r="E212" i="4"/>
  <c r="E211" i="4"/>
  <c r="E209" i="4"/>
  <c r="E208" i="4"/>
  <c r="E207" i="4"/>
  <c r="E206" i="4"/>
  <c r="E205" i="4"/>
  <c r="E204" i="4"/>
  <c r="E203" i="4"/>
  <c r="E202" i="4"/>
  <c r="E201" i="4"/>
  <c r="E200" i="4"/>
  <c r="E198" i="4"/>
  <c r="E197" i="4"/>
  <c r="E196" i="4"/>
  <c r="E195" i="4"/>
  <c r="E194" i="4"/>
  <c r="E193" i="4"/>
  <c r="E192" i="4"/>
  <c r="E191" i="4"/>
  <c r="E190" i="4"/>
  <c r="E189" i="4"/>
  <c r="E187" i="4"/>
  <c r="E186" i="4"/>
  <c r="E185" i="4"/>
  <c r="E184" i="4"/>
  <c r="E183" i="4"/>
  <c r="E182" i="4"/>
  <c r="E181" i="4"/>
  <c r="E180" i="4"/>
  <c r="E179" i="4"/>
  <c r="E178" i="4"/>
  <c r="E176" i="4"/>
  <c r="E175" i="4"/>
  <c r="E174" i="4"/>
  <c r="E173" i="4"/>
  <c r="E172" i="4"/>
  <c r="E171" i="4"/>
  <c r="E170" i="4"/>
  <c r="E169" i="4"/>
  <c r="E168" i="4"/>
  <c r="E167" i="4"/>
  <c r="E165" i="4"/>
  <c r="E164" i="4"/>
  <c r="E163" i="4"/>
  <c r="E162" i="4"/>
  <c r="E161" i="4"/>
  <c r="E160" i="4"/>
  <c r="E159" i="4"/>
  <c r="E158" i="4"/>
  <c r="E157" i="4"/>
  <c r="E156" i="4"/>
  <c r="E154" i="4"/>
  <c r="E153" i="4"/>
  <c r="E152" i="4"/>
  <c r="E151" i="4"/>
  <c r="E150" i="4"/>
  <c r="E149" i="4"/>
  <c r="E148" i="4"/>
  <c r="E147" i="4"/>
  <c r="E146" i="4"/>
  <c r="E145" i="4"/>
  <c r="E143" i="4"/>
  <c r="E142" i="4"/>
  <c r="E141" i="4"/>
  <c r="E140" i="4"/>
  <c r="E139" i="4"/>
  <c r="E138" i="4"/>
  <c r="E137" i="4"/>
  <c r="E136" i="4"/>
  <c r="E135" i="4"/>
  <c r="E134" i="4"/>
  <c r="E132" i="4"/>
  <c r="E131" i="4"/>
  <c r="E130" i="4"/>
  <c r="E129" i="4"/>
  <c r="E128" i="4"/>
  <c r="E127" i="4"/>
  <c r="E126" i="4"/>
  <c r="E125" i="4"/>
  <c r="E124" i="4"/>
  <c r="E123" i="4"/>
  <c r="E121" i="4"/>
  <c r="E120" i="4"/>
  <c r="E119" i="4"/>
  <c r="E118" i="4"/>
  <c r="E117" i="4"/>
  <c r="E116" i="4"/>
  <c r="E115" i="4"/>
  <c r="E114" i="4"/>
  <c r="E113" i="4"/>
  <c r="E112" i="4"/>
  <c r="E110" i="4"/>
  <c r="E109" i="4"/>
  <c r="E108" i="4"/>
  <c r="E107" i="4"/>
  <c r="E106" i="4"/>
  <c r="E105" i="4"/>
  <c r="E104" i="4"/>
  <c r="E103" i="4"/>
  <c r="E102" i="4"/>
  <c r="E101" i="4"/>
  <c r="E99" i="4"/>
  <c r="E98" i="4"/>
  <c r="E97" i="4"/>
  <c r="E96" i="4"/>
  <c r="E95" i="4"/>
  <c r="E94" i="4"/>
  <c r="E93" i="4"/>
  <c r="E92" i="4"/>
  <c r="E91" i="4"/>
  <c r="E90" i="4"/>
  <c r="E88" i="4"/>
  <c r="E87" i="4"/>
  <c r="E86" i="4"/>
  <c r="E85" i="4"/>
  <c r="E84" i="4"/>
  <c r="E83" i="4"/>
  <c r="E82" i="4"/>
  <c r="E81" i="4"/>
  <c r="E80" i="4"/>
  <c r="E79" i="4"/>
  <c r="D77" i="4"/>
  <c r="E77" i="4" s="1"/>
  <c r="C77" i="4"/>
  <c r="D76" i="4"/>
  <c r="C76" i="4"/>
  <c r="E76" i="4" s="1"/>
  <c r="D75" i="4"/>
  <c r="C75" i="4"/>
  <c r="E75" i="4" s="1"/>
  <c r="D74" i="4"/>
  <c r="C74" i="4"/>
  <c r="E74" i="4" s="1"/>
  <c r="D73" i="4"/>
  <c r="E73" i="4" s="1"/>
  <c r="C73" i="4"/>
  <c r="D72" i="4"/>
  <c r="C72" i="4"/>
  <c r="E72" i="4" s="1"/>
  <c r="D71" i="4"/>
  <c r="C71" i="4"/>
  <c r="E71" i="4" s="1"/>
  <c r="D70" i="4"/>
  <c r="C70" i="4"/>
  <c r="E70" i="4" s="1"/>
  <c r="D69" i="4"/>
  <c r="E69" i="4" s="1"/>
  <c r="C69" i="4"/>
  <c r="D68" i="4"/>
  <c r="C68" i="4"/>
  <c r="E68" i="4" s="1"/>
  <c r="D66" i="4"/>
  <c r="C66" i="4"/>
  <c r="E66" i="4" s="1"/>
  <c r="D65" i="4"/>
  <c r="C65" i="4"/>
  <c r="E65" i="4" s="1"/>
  <c r="D64" i="4"/>
  <c r="E64" i="4" s="1"/>
  <c r="C64" i="4"/>
  <c r="D63" i="4"/>
  <c r="C63" i="4"/>
  <c r="E63" i="4" s="1"/>
  <c r="D62" i="4"/>
  <c r="C62" i="4"/>
  <c r="E62" i="4" s="1"/>
  <c r="D61" i="4"/>
  <c r="C61" i="4"/>
  <c r="E61" i="4" s="1"/>
  <c r="D60" i="4"/>
  <c r="E60" i="4" s="1"/>
  <c r="C60" i="4"/>
  <c r="D59" i="4"/>
  <c r="C59" i="4"/>
  <c r="E59" i="4" s="1"/>
  <c r="D58" i="4"/>
  <c r="C58" i="4"/>
  <c r="E58" i="4" s="1"/>
  <c r="D57" i="4"/>
  <c r="C57" i="4"/>
  <c r="E57" i="4" s="1"/>
  <c r="E55" i="4"/>
  <c r="E54" i="4"/>
  <c r="E53" i="4"/>
  <c r="E52" i="4"/>
  <c r="E51" i="4"/>
  <c r="E50" i="4"/>
  <c r="E49" i="4"/>
  <c r="E48" i="4"/>
  <c r="E47" i="4"/>
  <c r="E46" i="4"/>
  <c r="E44" i="4"/>
  <c r="E43" i="4"/>
  <c r="E42" i="4"/>
  <c r="E41" i="4"/>
  <c r="E40" i="4"/>
  <c r="E39" i="4"/>
  <c r="E38" i="4"/>
  <c r="E37" i="4"/>
  <c r="E36" i="4"/>
  <c r="E35" i="4"/>
  <c r="E33" i="4"/>
  <c r="E32" i="4"/>
  <c r="E31" i="4"/>
  <c r="E30" i="4"/>
  <c r="E29" i="4"/>
  <c r="E28" i="4"/>
  <c r="E27" i="4"/>
  <c r="E26" i="4"/>
  <c r="E25" i="4"/>
  <c r="E24" i="4"/>
  <c r="E22" i="4"/>
  <c r="E21" i="4"/>
  <c r="E20" i="4"/>
  <c r="E19" i="4"/>
  <c r="E18" i="4"/>
  <c r="E17" i="4"/>
  <c r="E16" i="4"/>
  <c r="E15" i="4"/>
  <c r="E14" i="4"/>
  <c r="E13" i="4"/>
  <c r="E11" i="4"/>
  <c r="E10" i="4"/>
  <c r="E9" i="4"/>
  <c r="E8" i="4"/>
  <c r="E7" i="4"/>
  <c r="E6" i="4"/>
  <c r="E5" i="4"/>
  <c r="E4" i="4"/>
  <c r="E3" i="4"/>
  <c r="E2" i="4"/>
  <c r="E330" i="2"/>
  <c r="E329" i="2"/>
  <c r="E328" i="2"/>
  <c r="E327" i="2"/>
  <c r="E326" i="2"/>
  <c r="E325" i="2"/>
  <c r="E324" i="2"/>
  <c r="E323" i="2"/>
  <c r="E322" i="2"/>
  <c r="E321" i="2"/>
  <c r="E319" i="2"/>
  <c r="E318" i="2"/>
  <c r="E317" i="2"/>
  <c r="E316" i="2"/>
  <c r="E315" i="2"/>
  <c r="E314" i="2"/>
  <c r="E313" i="2"/>
  <c r="E312" i="2"/>
  <c r="E311" i="2"/>
  <c r="E310" i="2"/>
  <c r="E308" i="2"/>
  <c r="E307" i="2"/>
  <c r="E306" i="2"/>
  <c r="E305" i="2"/>
  <c r="E304" i="2"/>
  <c r="E303" i="2"/>
  <c r="E302" i="2"/>
  <c r="E301" i="2"/>
  <c r="E300" i="2"/>
  <c r="E299" i="2"/>
  <c r="E297" i="2"/>
  <c r="E296" i="2"/>
  <c r="E295" i="2"/>
  <c r="E294" i="2"/>
  <c r="E293" i="2"/>
  <c r="E292" i="2"/>
  <c r="E291" i="2"/>
  <c r="E290" i="2"/>
  <c r="E289" i="2"/>
  <c r="E288" i="2"/>
  <c r="E286" i="2"/>
  <c r="E285" i="2"/>
  <c r="E284" i="2"/>
  <c r="E283" i="2"/>
  <c r="E282" i="2"/>
  <c r="E281" i="2"/>
  <c r="E280" i="2"/>
  <c r="E279" i="2"/>
  <c r="E278" i="2"/>
  <c r="E277" i="2"/>
  <c r="E275" i="2"/>
  <c r="E274" i="2"/>
  <c r="E273" i="2"/>
  <c r="E272" i="2"/>
  <c r="E271" i="2"/>
  <c r="E270" i="2"/>
  <c r="E269" i="2"/>
  <c r="E268" i="2"/>
  <c r="E267" i="2"/>
  <c r="E266" i="2"/>
  <c r="E264" i="2"/>
  <c r="E263" i="2"/>
  <c r="E262" i="2"/>
  <c r="E261" i="2"/>
  <c r="E260" i="2"/>
  <c r="E259" i="2"/>
  <c r="E258" i="2"/>
  <c r="E257" i="2"/>
  <c r="E256" i="2"/>
  <c r="E255" i="2"/>
  <c r="E253" i="2"/>
  <c r="E252" i="2"/>
  <c r="E251" i="2"/>
  <c r="E250" i="2"/>
  <c r="E249" i="2"/>
  <c r="E248" i="2"/>
  <c r="E247" i="2"/>
  <c r="E246" i="2"/>
  <c r="E245" i="2"/>
  <c r="E244" i="2"/>
  <c r="E242" i="2"/>
  <c r="E241" i="2"/>
  <c r="E240" i="2"/>
  <c r="E239" i="2"/>
  <c r="E238" i="2"/>
  <c r="E237" i="2"/>
  <c r="E236" i="2"/>
  <c r="E235" i="2"/>
  <c r="E234" i="2"/>
  <c r="E233" i="2"/>
  <c r="E231" i="2"/>
  <c r="E230" i="2"/>
  <c r="E229" i="2"/>
  <c r="E228" i="2"/>
  <c r="E227" i="2"/>
  <c r="E226" i="2"/>
  <c r="E225" i="2"/>
  <c r="E224" i="2"/>
  <c r="E223" i="2"/>
  <c r="E222" i="2"/>
  <c r="E220" i="2"/>
  <c r="E219" i="2"/>
  <c r="E218" i="2"/>
  <c r="E217" i="2"/>
  <c r="E216" i="2"/>
  <c r="E215" i="2"/>
  <c r="E214" i="2"/>
  <c r="E213" i="2"/>
  <c r="E212" i="2"/>
  <c r="E211" i="2"/>
  <c r="E209" i="2"/>
  <c r="E208" i="2"/>
  <c r="E207" i="2"/>
  <c r="E206" i="2"/>
  <c r="E205" i="2"/>
  <c r="E204" i="2"/>
  <c r="E203" i="2"/>
  <c r="E202" i="2"/>
  <c r="E201" i="2"/>
  <c r="E200" i="2"/>
  <c r="E198" i="2"/>
  <c r="E197" i="2"/>
  <c r="E196" i="2"/>
  <c r="E195" i="2"/>
  <c r="E194" i="2"/>
  <c r="E193" i="2"/>
  <c r="E192" i="2"/>
  <c r="E191" i="2"/>
  <c r="E190" i="2"/>
  <c r="E189" i="2"/>
  <c r="E187" i="2"/>
  <c r="E186" i="2"/>
  <c r="E185" i="2"/>
  <c r="E184" i="2"/>
  <c r="E183" i="2"/>
  <c r="E182" i="2"/>
  <c r="E181" i="2"/>
  <c r="E180" i="2"/>
  <c r="E179" i="2"/>
  <c r="E178" i="2"/>
  <c r="E176" i="2"/>
  <c r="E175" i="2"/>
  <c r="E174" i="2"/>
  <c r="E173" i="2"/>
  <c r="E172" i="2"/>
  <c r="E171" i="2"/>
  <c r="E170" i="2"/>
  <c r="E169" i="2"/>
  <c r="E168" i="2"/>
  <c r="E167" i="2"/>
  <c r="E165" i="2"/>
  <c r="E164" i="2"/>
  <c r="E163" i="2"/>
  <c r="E162" i="2"/>
  <c r="E161" i="2"/>
  <c r="E160" i="2"/>
  <c r="E159" i="2"/>
  <c r="E158" i="2"/>
  <c r="E157" i="2"/>
  <c r="E156" i="2"/>
  <c r="E154" i="2"/>
  <c r="E153" i="2"/>
  <c r="E152" i="2"/>
  <c r="E151" i="2"/>
  <c r="E150" i="2"/>
  <c r="E149" i="2"/>
  <c r="E148" i="2"/>
  <c r="E147" i="2"/>
  <c r="E146" i="2"/>
  <c r="E145" i="2"/>
  <c r="E143" i="2"/>
  <c r="E142" i="2"/>
  <c r="E141" i="2"/>
  <c r="E140" i="2"/>
  <c r="E139" i="2"/>
  <c r="E138" i="2"/>
  <c r="E137" i="2"/>
  <c r="E136" i="2"/>
  <c r="E135" i="2"/>
  <c r="E134" i="2"/>
  <c r="E132" i="2"/>
  <c r="E131" i="2"/>
  <c r="E130" i="2"/>
  <c r="E129" i="2"/>
  <c r="E128" i="2"/>
  <c r="E127" i="2"/>
  <c r="E126" i="2"/>
  <c r="E125" i="2"/>
  <c r="E124" i="2"/>
  <c r="E123" i="2"/>
  <c r="E121" i="2"/>
  <c r="E120" i="2"/>
  <c r="E119" i="2"/>
  <c r="E118" i="2"/>
  <c r="E117" i="2"/>
  <c r="E116" i="2"/>
  <c r="E115" i="2"/>
  <c r="E114" i="2"/>
  <c r="E113" i="2"/>
  <c r="E112" i="2"/>
  <c r="E110" i="2"/>
  <c r="E109" i="2"/>
  <c r="E108" i="2"/>
  <c r="E107" i="2"/>
  <c r="E106" i="2"/>
  <c r="E105" i="2"/>
  <c r="E104" i="2"/>
  <c r="E103" i="2"/>
  <c r="E102" i="2"/>
  <c r="E101" i="2"/>
  <c r="E99" i="2"/>
  <c r="E98" i="2"/>
  <c r="E97" i="2"/>
  <c r="E96" i="2"/>
  <c r="E95" i="2"/>
  <c r="E94" i="2"/>
  <c r="E93" i="2"/>
  <c r="E92" i="2"/>
  <c r="E91" i="2"/>
  <c r="E90" i="2"/>
  <c r="E88" i="2"/>
  <c r="E87" i="2"/>
  <c r="E86" i="2"/>
  <c r="E85" i="2"/>
  <c r="E84" i="2"/>
  <c r="E83" i="2"/>
  <c r="E82" i="2"/>
  <c r="E81" i="2"/>
  <c r="E80" i="2"/>
  <c r="E79" i="2"/>
  <c r="E77" i="2"/>
  <c r="E76" i="2"/>
  <c r="E75" i="2"/>
  <c r="E74" i="2"/>
  <c r="E73" i="2"/>
  <c r="E72" i="2"/>
  <c r="E71" i="2"/>
  <c r="E70" i="2"/>
  <c r="E69" i="2"/>
  <c r="E68" i="2"/>
  <c r="E66" i="2"/>
  <c r="E65" i="2"/>
  <c r="E64" i="2"/>
  <c r="E63" i="2"/>
  <c r="E62" i="2"/>
  <c r="E61" i="2"/>
  <c r="E60" i="2"/>
  <c r="E59" i="2"/>
  <c r="E58" i="2"/>
  <c r="E57" i="2"/>
  <c r="E55" i="2"/>
  <c r="E54" i="2"/>
  <c r="E53" i="2"/>
  <c r="E52" i="2"/>
  <c r="E51" i="2"/>
  <c r="E50" i="2"/>
  <c r="E49" i="2"/>
  <c r="E48" i="2"/>
  <c r="E47" i="2"/>
  <c r="E46" i="2"/>
  <c r="E44" i="2"/>
  <c r="E43" i="2"/>
  <c r="E42" i="2"/>
  <c r="E41" i="2"/>
  <c r="E40" i="2"/>
  <c r="E39" i="2"/>
  <c r="E38" i="2"/>
  <c r="E37" i="2"/>
  <c r="E36" i="2"/>
  <c r="E35" i="2"/>
  <c r="E33" i="2"/>
  <c r="E32" i="2"/>
  <c r="E31" i="2"/>
  <c r="E30" i="2"/>
  <c r="E29" i="2"/>
  <c r="E28" i="2"/>
  <c r="E27" i="2"/>
  <c r="E26" i="2"/>
  <c r="E25" i="2"/>
  <c r="E24" i="2"/>
  <c r="E22" i="2"/>
  <c r="E21" i="2"/>
  <c r="E20" i="2"/>
  <c r="E19" i="2"/>
  <c r="E18" i="2"/>
  <c r="E17" i="2"/>
  <c r="E16" i="2"/>
  <c r="E15" i="2"/>
  <c r="E14" i="2"/>
  <c r="E13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<sst xmlns="http://schemas.openxmlformats.org/spreadsheetml/2006/main" count="225" uniqueCount="116">
  <si>
    <t>SN</t>
  </si>
  <si>
    <t>Condition</t>
  </si>
  <si>
    <t>Flow Rate</t>
  </si>
  <si>
    <t>Active Plates</t>
  </si>
  <si>
    <t>30LPM3</t>
  </si>
  <si>
    <t>30LPM</t>
  </si>
  <si>
    <t>25LPM3</t>
  </si>
  <si>
    <t>25LPM</t>
  </si>
  <si>
    <t>20LPM3</t>
  </si>
  <si>
    <t>20LPM</t>
  </si>
  <si>
    <t>15LPM3</t>
  </si>
  <si>
    <t>15LPM</t>
  </si>
  <si>
    <t>10LPM3</t>
  </si>
  <si>
    <t>10LPM</t>
  </si>
  <si>
    <t>5LPM3</t>
  </si>
  <si>
    <t>5LPM</t>
  </si>
  <si>
    <t>25LPM2</t>
  </si>
  <si>
    <t>20LPM2</t>
  </si>
  <si>
    <t>15LPM2</t>
  </si>
  <si>
    <t>10LPM2</t>
  </si>
  <si>
    <t>5LPM2</t>
  </si>
  <si>
    <t>20LPM1</t>
  </si>
  <si>
    <t>15LPM1</t>
  </si>
  <si>
    <t>10LPM1</t>
  </si>
  <si>
    <t>5LPM1</t>
  </si>
  <si>
    <t>Plate_Gap_between two Plates</t>
  </si>
  <si>
    <t>50mm</t>
  </si>
  <si>
    <t>100mm</t>
  </si>
  <si>
    <t>150mm</t>
  </si>
  <si>
    <t>Temperature Set in Tank</t>
  </si>
  <si>
    <t>A_mean_50 Degree_Celious</t>
  </si>
  <si>
    <t>B_mean_60 Degree_Celious</t>
  </si>
  <si>
    <t>In this way I have Total 90 Variations</t>
  </si>
  <si>
    <t>15 Flow Rate Variations x 3 Gap Variations xTwo Temperature Variation</t>
  </si>
  <si>
    <t>CONDITION</t>
  </si>
  <si>
    <t>FLOW _LPM</t>
  </si>
  <si>
    <t>HOT WATER TANK_TEMP</t>
  </si>
  <si>
    <t>AMBIENT_TEMP</t>
  </si>
  <si>
    <t>PLATE1_INLET_TEMP</t>
  </si>
  <si>
    <t>PLATE1_OUTLET_TEMP</t>
  </si>
  <si>
    <t>PLATE1_SURFACE_TEMP</t>
  </si>
  <si>
    <t>PLATE2_INLET_TEMP</t>
  </si>
  <si>
    <t>PLATE2_OUTLET_TEMP</t>
  </si>
  <si>
    <t>PLATE2_SURFACE_TEMP</t>
  </si>
  <si>
    <t>PLATE3_INLET_TEMP</t>
  </si>
  <si>
    <t>PLATE3_OUTLET_TEMP</t>
  </si>
  <si>
    <t>PLATE3_SURFACE_TEMP</t>
  </si>
  <si>
    <t>30LPM3_A</t>
  </si>
  <si>
    <t>25LPM3_A</t>
  </si>
  <si>
    <t>20LPM3_A</t>
  </si>
  <si>
    <t>15LPM3_A</t>
  </si>
  <si>
    <t>10LPM3_A</t>
  </si>
  <si>
    <t>5LPM3_A</t>
  </si>
  <si>
    <t>25LPM2_A</t>
  </si>
  <si>
    <t>20LPM2_A</t>
  </si>
  <si>
    <t>15LPM2_A</t>
  </si>
  <si>
    <t>10LPM2_A</t>
  </si>
  <si>
    <t>5LPM2_A</t>
  </si>
  <si>
    <t>20LPM1_A</t>
  </si>
  <si>
    <t>15LPM1_A</t>
  </si>
  <si>
    <t>10LPM1_A</t>
  </si>
  <si>
    <t>5LPM1_A</t>
  </si>
  <si>
    <t>30LPM3_B</t>
  </si>
  <si>
    <t>25LPM3_B</t>
  </si>
  <si>
    <t>20LPM3_B</t>
  </si>
  <si>
    <t>15LPM3_B</t>
  </si>
  <si>
    <t>10LPM3_B</t>
  </si>
  <si>
    <t>5LPM3_B</t>
  </si>
  <si>
    <t>25LPM2_B</t>
  </si>
  <si>
    <t>20LPM2_B</t>
  </si>
  <si>
    <t>15LPM2_B</t>
  </si>
  <si>
    <t>10LPM2_B</t>
  </si>
  <si>
    <t>5LPM2_B</t>
  </si>
  <si>
    <t>20LPM1_B</t>
  </si>
  <si>
    <t>15LPM1_B</t>
  </si>
  <si>
    <t>10LPM1_B</t>
  </si>
  <si>
    <t>5LPM1_B</t>
  </si>
  <si>
    <t>P_OUT (kg/cm2)</t>
  </si>
  <si>
    <t>P_DROP (kg/cm2)</t>
  </si>
  <si>
    <t>P_IN (kg/cm2)</t>
  </si>
  <si>
    <t>Sr. No.</t>
  </si>
  <si>
    <t>Thermocouple Position</t>
  </si>
  <si>
    <t>Channel No.</t>
  </si>
  <si>
    <t>Tank Water 1</t>
  </si>
  <si>
    <t>CH01</t>
  </si>
  <si>
    <t>Tank Water 2</t>
  </si>
  <si>
    <t>CH02</t>
  </si>
  <si>
    <t>Ambient Temperature 1</t>
  </si>
  <si>
    <t>CH03</t>
  </si>
  <si>
    <t>Ambient Temperature 2</t>
  </si>
  <si>
    <t>CH04</t>
  </si>
  <si>
    <t>Plate 1 Inlet Temperature</t>
  </si>
  <si>
    <t>CH05</t>
  </si>
  <si>
    <t>Plate 1 Outlet Temperature</t>
  </si>
  <si>
    <t>CH06</t>
  </si>
  <si>
    <t>Plate 1 Surface Temperature 1</t>
  </si>
  <si>
    <t>CH07</t>
  </si>
  <si>
    <t>Plate 1 Surface Temperature 2</t>
  </si>
  <si>
    <t>CH08</t>
  </si>
  <si>
    <t>Plate 2 Inlet Temperature</t>
  </si>
  <si>
    <t>CH09</t>
  </si>
  <si>
    <t>Plate 2 Outlet Temperature</t>
  </si>
  <si>
    <t>CH10</t>
  </si>
  <si>
    <t>Plate 2 Surface Temperature 1</t>
  </si>
  <si>
    <t>CH11</t>
  </si>
  <si>
    <t>Plate 2 Surface Temperature 2</t>
  </si>
  <si>
    <t>CH12</t>
  </si>
  <si>
    <t>Plate 3 Inlet Temperature</t>
  </si>
  <si>
    <t>CH13</t>
  </si>
  <si>
    <t>Plate 3 Outlet Temperature</t>
  </si>
  <si>
    <t>CH14</t>
  </si>
  <si>
    <t>Plate 3 Surface Temperature 1</t>
  </si>
  <si>
    <t>CH15</t>
  </si>
  <si>
    <t>Plate 3 Surface Temperature 2</t>
  </si>
  <si>
    <t>CH16</t>
  </si>
  <si>
    <t>For simpilication I took  Avearge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</si>
</sst>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1"/>
      <color theme="1"/>
      <name val="Arial"/>
    </font>
    <font>
      <sz val="11"/>
      <color rgb="FF9C0006"/>
      <name val="Arial"/>
      <family val="2"/>
      <scheme val="minor"/>
    </font>
    <font>
      <sz val="11"/>
      <color rgb="FF9C65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9"/>
      <color rgb="FF9C6500"/>
      <name val="Arial"/>
      <family val="2"/>
      <scheme val="minor"/>
    </font>
    <font>
      <sz val="9"/>
      <color rgb="FF9C0006"/>
      <name val="Arial"/>
      <family val="2"/>
      <scheme val="minor"/>
    </font>
    <font>
      <sz val="9"/>
      <color rgb="FF000000"/>
      <name val="Arial"/>
      <family val="2"/>
      <scheme val="minor"/>
    </font>
    <font>
      <sz val="8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3" borderId="0" applyNumberFormat="0" applyBorder="0" applyAlignment="0" applyProtection="0"/>
    <xf numFmtId="0" fontId="7" fillId="4" borderId="0" applyNumberFormat="0" applyBorder="0" applyAlignment="0" applyProtection="0"/>
  </cellStyleXfs>
  <cellXfs count="71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0" xfId="0" applyFont="1" applyAlignment="1"/>
    <xf numFmtId="0" fontId="3" fillId="0" borderId="1" xfId="0" applyFont="1" applyBorder="1" applyAlignment="1"/>
    <xf numFmtId="1" fontId="3" fillId="0" borderId="1" xfId="0" applyNumberFormat="1" applyFont="1" applyBorder="1" applyAlignment="1"/>
    <xf numFmtId="2" fontId="3" fillId="0" borderId="1" xfId="0" applyNumberFormat="1" applyFont="1" applyBorder="1" applyAlignment="1"/>
    <xf numFmtId="164" fontId="3" fillId="0" borderId="1" xfId="0" applyNumberFormat="1" applyFont="1" applyBorder="1" applyAlignment="1"/>
    <xf numFmtId="0" fontId="3" fillId="0" borderId="1" xfId="0" applyFont="1" applyBorder="1"/>
    <xf numFmtId="1" fontId="3" fillId="0" borderId="1" xfId="0" applyNumberFormat="1" applyFont="1" applyBorder="1" applyAlignment="1">
      <alignment horizontal="center"/>
    </xf>
    <xf numFmtId="1" fontId="3" fillId="0" borderId="0" xfId="0" applyNumberFormat="1" applyFont="1" applyAlignment="1"/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/>
    <xf numFmtId="165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0" xfId="0" applyFont="1" applyAlignment="1"/>
    <xf numFmtId="0" fontId="2" fillId="2" borderId="0" xfId="0" applyFont="1" applyFill="1" applyAlignment="1">
      <alignment horizontal="center"/>
    </xf>
    <xf numFmtId="0" fontId="0" fillId="0" borderId="0" xfId="0" applyFont="1" applyAlignment="1"/>
    <xf numFmtId="0" fontId="0" fillId="0" borderId="8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0" fillId="0" borderId="0" xfId="0" applyFont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8" fillId="0" borderId="0" xfId="0" applyFont="1" applyAlignment="1"/>
    <xf numFmtId="0" fontId="10" fillId="4" borderId="9" xfId="2" applyFont="1" applyBorder="1" applyAlignment="1">
      <alignment horizontal="center" wrapText="1"/>
    </xf>
    <xf numFmtId="0" fontId="12" fillId="0" borderId="0" xfId="0" applyFont="1" applyAlignment="1"/>
    <xf numFmtId="0" fontId="11" fillId="3" borderId="9" xfId="1" applyFont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wrapText="1"/>
    </xf>
    <xf numFmtId="0" fontId="13" fillId="0" borderId="0" xfId="0" applyFont="1" applyAlignment="1">
      <alignment wrapText="1"/>
    </xf>
  </cellXfs>
  <cellStyles count="3">
    <cellStyle name="Bad" xfId="1" builtinId="27"/>
    <cellStyle name="Neutral" xfId="2" builtinId="28"/>
    <cellStyle name="Normal" xfId="0" builtinId="0"/>
  </cellStyles>
  <dxfs count="80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40">
    <tableStyle name="50 MM-style" pivot="0" count="2">
      <tableStyleElement type="firstRowStripe" dxfId="79"/>
      <tableStyleElement type="secondRowStripe" dxfId="78"/>
    </tableStyle>
    <tableStyle name="50 MM-style 2" pivot="0" count="2">
      <tableStyleElement type="firstRowStripe" dxfId="77"/>
      <tableStyleElement type="secondRowStripe" dxfId="76"/>
    </tableStyle>
    <tableStyle name="50 MM-style 3" pivot="0" count="2">
      <tableStyleElement type="firstRowStripe" dxfId="75"/>
      <tableStyleElement type="secondRowStripe" dxfId="74"/>
    </tableStyle>
    <tableStyle name="50 MM-style 4" pivot="0" count="2">
      <tableStyleElement type="firstRowStripe" dxfId="73"/>
      <tableStyleElement type="secondRowStripe" dxfId="72"/>
    </tableStyle>
    <tableStyle name="50 MM-style 5" pivot="0" count="2">
      <tableStyleElement type="firstRowStripe" dxfId="71"/>
      <tableStyleElement type="secondRowStripe" dxfId="70"/>
    </tableStyle>
    <tableStyle name="50 MM-style 6" pivot="0" count="2">
      <tableStyleElement type="firstRowStripe" dxfId="69"/>
      <tableStyleElement type="secondRowStripe" dxfId="68"/>
    </tableStyle>
    <tableStyle name="50 MM-style 7" pivot="0" count="2">
      <tableStyleElement type="firstRowStripe" dxfId="67"/>
      <tableStyleElement type="secondRowStripe" dxfId="66"/>
    </tableStyle>
    <tableStyle name="50 MM-style 8" pivot="0" count="2">
      <tableStyleElement type="firstRowStripe" dxfId="65"/>
      <tableStyleElement type="secondRowStripe" dxfId="64"/>
    </tableStyle>
    <tableStyle name="50 MM-style 9" pivot="0" count="2">
      <tableStyleElement type="firstRowStripe" dxfId="63"/>
      <tableStyleElement type="secondRowStripe" dxfId="62"/>
    </tableStyle>
    <tableStyle name="50 MM-style 10" pivot="0" count="2">
      <tableStyleElement type="firstRowStripe" dxfId="61"/>
      <tableStyleElement type="secondRowStripe" dxfId="60"/>
    </tableStyle>
    <tableStyle name="50 MM-style 11" pivot="0" count="2">
      <tableStyleElement type="firstRowStripe" dxfId="59"/>
      <tableStyleElement type="secondRowStripe" dxfId="58"/>
    </tableStyle>
    <tableStyle name="50 MM-style 12" pivot="0" count="2">
      <tableStyleElement type="firstRowStripe" dxfId="57"/>
      <tableStyleElement type="secondRowStripe" dxfId="56"/>
    </tableStyle>
    <tableStyle name="50 MM-style 13" pivot="0" count="2">
      <tableStyleElement type="firstRowStripe" dxfId="55"/>
      <tableStyleElement type="secondRowStripe" dxfId="54"/>
    </tableStyle>
    <tableStyle name="50 MM-style 14" pivot="0" count="2">
      <tableStyleElement type="firstRowStripe" dxfId="53"/>
      <tableStyleElement type="secondRowStripe" dxfId="52"/>
    </tableStyle>
    <tableStyle name="50 MM-style 15" pivot="0" count="2">
      <tableStyleElement type="firstRowStripe" dxfId="51"/>
      <tableStyleElement type="secondRowStripe" dxfId="50"/>
    </tableStyle>
    <tableStyle name="50 MM-style 16" pivot="0" count="2">
      <tableStyleElement type="firstRowStripe" dxfId="49"/>
      <tableStyleElement type="secondRowStripe" dxfId="48"/>
    </tableStyle>
    <tableStyle name="50 MM-style 17" pivot="0" count="2">
      <tableStyleElement type="firstRowStripe" dxfId="47"/>
      <tableStyleElement type="secondRowStripe" dxfId="46"/>
    </tableStyle>
    <tableStyle name="50 MM-style 18" pivot="0" count="2">
      <tableStyleElement type="firstRowStripe" dxfId="45"/>
      <tableStyleElement type="secondRowStripe" dxfId="44"/>
    </tableStyle>
    <tableStyle name="50 MM-style 19" pivot="0" count="2">
      <tableStyleElement type="firstRowStripe" dxfId="43"/>
      <tableStyleElement type="secondRowStripe" dxfId="42"/>
    </tableStyle>
    <tableStyle name="50 MM-style 20" pivot="0" count="2">
      <tableStyleElement type="firstRowStripe" dxfId="41"/>
      <tableStyleElement type="secondRowStripe" dxfId="40"/>
    </tableStyle>
    <tableStyle name="50 MM-style 21" pivot="0" count="2">
      <tableStyleElement type="firstRowStripe" dxfId="39"/>
      <tableStyleElement type="secondRowStripe" dxfId="38"/>
    </tableStyle>
    <tableStyle name="50 MM-style 22" pivot="0" count="2">
      <tableStyleElement type="firstRowStripe" dxfId="37"/>
      <tableStyleElement type="secondRowStripe" dxfId="36"/>
    </tableStyle>
    <tableStyle name="50 MM-style 23" pivot="0" count="2">
      <tableStyleElement type="firstRowStripe" dxfId="35"/>
      <tableStyleElement type="secondRowStripe" dxfId="34"/>
    </tableStyle>
    <tableStyle name="50 MM-style 24" pivot="0" count="2">
      <tableStyleElement type="firstRowStripe" dxfId="33"/>
      <tableStyleElement type="secondRowStripe" dxfId="32"/>
    </tableStyle>
    <tableStyle name="50 MM-style 25" pivot="0" count="2">
      <tableStyleElement type="firstRowStripe" dxfId="31"/>
      <tableStyleElement type="secondRowStripe" dxfId="30"/>
    </tableStyle>
    <tableStyle name="50 MM-style 26" pivot="0" count="2">
      <tableStyleElement type="firstRowStripe" dxfId="29"/>
      <tableStyleElement type="secondRowStripe" dxfId="28"/>
    </tableStyle>
    <tableStyle name="50 MM-style 27" pivot="0" count="2">
      <tableStyleElement type="firstRowStripe" dxfId="27"/>
      <tableStyleElement type="secondRowStripe" dxfId="26"/>
    </tableStyle>
    <tableStyle name="50 MM-style 28" pivot="0" count="2">
      <tableStyleElement type="firstRowStripe" dxfId="25"/>
      <tableStyleElement type="secondRowStripe" dxfId="24"/>
    </tableStyle>
    <tableStyle name="50 MM-style 29" pivot="0" count="2">
      <tableStyleElement type="firstRowStripe" dxfId="23"/>
      <tableStyleElement type="secondRowStripe" dxfId="22"/>
    </tableStyle>
    <tableStyle name="50 MM-style 30" pivot="0" count="2">
      <tableStyleElement type="firstRowStripe" dxfId="21"/>
      <tableStyleElement type="secondRowStripe" dxfId="20"/>
    </tableStyle>
    <tableStyle name="150 MM-style" pivot="0" count="2">
      <tableStyleElement type="firstRowStripe" dxfId="19"/>
      <tableStyleElement type="secondRowStripe" dxfId="18"/>
    </tableStyle>
    <tableStyle name="150 MM-style 2" pivot="0" count="2">
      <tableStyleElement type="firstRowStripe" dxfId="17"/>
      <tableStyleElement type="secondRowStripe" dxfId="16"/>
    </tableStyle>
    <tableStyle name="150 MM-style 3" pivot="0" count="2">
      <tableStyleElement type="firstRowStripe" dxfId="15"/>
      <tableStyleElement type="secondRowStripe" dxfId="14"/>
    </tableStyle>
    <tableStyle name="150 MM-style 4" pivot="0" count="2">
      <tableStyleElement type="firstRowStripe" dxfId="13"/>
      <tableStyleElement type="secondRowStripe" dxfId="12"/>
    </tableStyle>
    <tableStyle name="150 MM-style 5" pivot="0" count="2">
      <tableStyleElement type="firstRowStripe" dxfId="11"/>
      <tableStyleElement type="secondRowStripe" dxfId="10"/>
    </tableStyle>
    <tableStyle name="150 MM-style 6" pivot="0" count="2">
      <tableStyleElement type="firstRowStripe" dxfId="9"/>
      <tableStyleElement type="secondRowStripe" dxfId="8"/>
    </tableStyle>
    <tableStyle name="150 MM-style 7" pivot="0" count="2">
      <tableStyleElement type="firstRowStripe" dxfId="7"/>
      <tableStyleElement type="secondRowStripe" dxfId="6"/>
    </tableStyle>
    <tableStyle name="150 MM-style 8" pivot="0" count="2">
      <tableStyleElement type="firstRowStripe" dxfId="5"/>
      <tableStyleElement type="secondRowStripe" dxfId="4"/>
    </tableStyle>
    <tableStyle name="150 MM-style 9" pivot="0" count="2">
      <tableStyleElement type="firstRowStripe" dxfId="3"/>
      <tableStyleElement type="secondRowStripe" dxfId="2"/>
    </tableStyle>
    <tableStyle name="150 MM-style 10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_1" displayName="Table_1" ref="C2:E2" headerRowCount="0">
  <tableColumns count="3">
    <tableColumn id="1" name="Column1"/>
    <tableColumn id="2" name="Column2"/>
    <tableColumn id="3" name="Column3"/>
  </tableColumns>
  <tableStyleInfo name="50 MM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C13:E13" headerRowCount="0">
  <tableColumns count="3">
    <tableColumn id="1" name="Column1"/>
    <tableColumn id="2" name="Column2"/>
    <tableColumn id="3" name="Column3"/>
  </tableColumns>
  <tableStyleInfo name="50 MM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C24:E24" headerRowCount="0">
  <tableColumns count="3">
    <tableColumn id="1" name="Column1"/>
    <tableColumn id="2" name="Column2"/>
    <tableColumn id="3" name="Column3"/>
  </tableColumns>
  <tableStyleInfo name="50 MM-style 3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C35:E35" headerRowCount="0">
  <tableColumns count="3">
    <tableColumn id="1" name="Column1"/>
    <tableColumn id="2" name="Column2"/>
    <tableColumn id="3" name="Column3"/>
  </tableColumns>
  <tableStyleInfo name="50 MM-style 4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C46:E46" headerRowCount="0">
  <tableColumns count="3">
    <tableColumn id="1" name="Column1"/>
    <tableColumn id="2" name="Column2"/>
    <tableColumn id="3" name="Column3"/>
  </tableColumns>
  <tableStyleInfo name="50 MM-style 5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C57:E57" headerRowCount="0">
  <tableColumns count="3">
    <tableColumn id="1" name="Column1"/>
    <tableColumn id="2" name="Column2"/>
    <tableColumn id="3" name="Column3"/>
  </tableColumns>
  <tableStyleInfo name="50 MM-style 6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C68:E68" headerRowCount="0">
  <tableColumns count="3">
    <tableColumn id="1" name="Column1"/>
    <tableColumn id="2" name="Column2"/>
    <tableColumn id="3" name="Column3"/>
  </tableColumns>
  <tableStyleInfo name="50 MM-style 7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C79:E79" headerRowCount="0">
  <tableColumns count="3">
    <tableColumn id="1" name="Column1"/>
    <tableColumn id="2" name="Column2"/>
    <tableColumn id="3" name="Column3"/>
  </tableColumns>
  <tableStyleInfo name="50 MM-style 8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C90:E90" headerRowCount="0">
  <tableColumns count="3">
    <tableColumn id="1" name="Column1"/>
    <tableColumn id="2" name="Column2"/>
    <tableColumn id="3" name="Column3"/>
  </tableColumns>
  <tableStyleInfo name="50 MM-style 9" showFirstColumn="1" showLastColumn="1" showRowStripes="1" showColumnStripes="0"/>
</table>
</file>

<file path=xl/tables/table10.xml><?xml version="1.0" encoding="utf-8"?>
<table xmlns="http://schemas.openxmlformats.org/spreadsheetml/2006/main" id="10" name="Table_10" displayName="Table_10" ref="C101:E101" headerRowCount="0">
  <tableColumns count="3">
    <tableColumn id="1" name="Column1"/>
    <tableColumn id="2" name="Column2"/>
    <tableColumn id="3" name="Column3"/>
  </tableColumns>
  <tableStyleInfo name="50 MM-style 10" showFirstColumn="1" showLastColumn="1" showRowStripes="1" showColumnStripes="0"/>
</table>
</file>

<file path=xl/tables/table11.xml><?xml version="1.0" encoding="utf-8"?>
<table xmlns="http://schemas.openxmlformats.org/spreadsheetml/2006/main" id="11" name="Table_11" displayName="Table_11" ref="C112:E112" headerRowCount="0">
  <tableColumns count="3">
    <tableColumn id="1" name="Column1"/>
    <tableColumn id="2" name="Column2"/>
    <tableColumn id="3" name="Column3"/>
  </tableColumns>
  <tableStyleInfo name="50 MM-style 11" showFirstColumn="1" showLastColumn="1" showRowStripes="1" showColumnStripes="0"/>
</table>
</file>

<file path=xl/tables/table12.xml><?xml version="1.0" encoding="utf-8"?>
<table xmlns="http://schemas.openxmlformats.org/spreadsheetml/2006/main" id="12" name="Table_12" displayName="Table_12" ref="C123:E123" headerRowCount="0">
  <tableColumns count="3">
    <tableColumn id="1" name="Column1"/>
    <tableColumn id="2" name="Column2"/>
    <tableColumn id="3" name="Column3"/>
  </tableColumns>
  <tableStyleInfo name="50 MM-style 12" showFirstColumn="1" showLastColumn="1" showRowStripes="1" showColumnStripes="0"/>
</table>
</file>

<file path=xl/tables/table13.xml><?xml version="1.0" encoding="utf-8"?>
<table xmlns="http://schemas.openxmlformats.org/spreadsheetml/2006/main" id="13" name="Table_13" displayName="Table_13" ref="C134:E134" headerRowCount="0">
  <tableColumns count="3">
    <tableColumn id="1" name="Column1"/>
    <tableColumn id="2" name="Column2"/>
    <tableColumn id="3" name="Column3"/>
  </tableColumns>
  <tableStyleInfo name="50 MM-style 13" showFirstColumn="1" showLastColumn="1" showRowStripes="1" showColumnStripes="0"/>
</table>
</file>

<file path=xl/tables/table14.xml><?xml version="1.0" encoding="utf-8"?>
<table xmlns="http://schemas.openxmlformats.org/spreadsheetml/2006/main" id="14" name="Table_14" displayName="Table_14" ref="C145:E145" headerRowCount="0">
  <tableColumns count="3">
    <tableColumn id="1" name="Column1"/>
    <tableColumn id="2" name="Column2"/>
    <tableColumn id="3" name="Column3"/>
  </tableColumns>
  <tableStyleInfo name="50 MM-style 14" showFirstColumn="1" showLastColumn="1" showRowStripes="1" showColumnStripes="0"/>
</table>
</file>

<file path=xl/tables/table15.xml><?xml version="1.0" encoding="utf-8"?>
<table xmlns="http://schemas.openxmlformats.org/spreadsheetml/2006/main" id="15" name="Table_15" displayName="Table_15" ref="C156:E156" headerRowCount="0">
  <tableColumns count="3">
    <tableColumn id="1" name="Column1"/>
    <tableColumn id="2" name="Column2"/>
    <tableColumn id="3" name="Column3"/>
  </tableColumns>
  <tableStyleInfo name="50 MM-style 15" showFirstColumn="1" showLastColumn="1" showRowStripes="1" showColumnStripes="0"/>
</table>
</file>

<file path=xl/tables/table16.xml><?xml version="1.0" encoding="utf-8"?>
<table xmlns="http://schemas.openxmlformats.org/spreadsheetml/2006/main" id="16" name="Table_16" displayName="Table_16" ref="C167:E167" headerRowCount="0">
  <tableColumns count="3">
    <tableColumn id="1" name="Column1"/>
    <tableColumn id="2" name="Column2"/>
    <tableColumn id="3" name="Column3"/>
  </tableColumns>
  <tableStyleInfo name="50 MM-style 16" showFirstColumn="1" showLastColumn="1" showRowStripes="1" showColumnStripes="0"/>
</table>
</file>

<file path=xl/tables/table17.xml><?xml version="1.0" encoding="utf-8"?>
<table xmlns="http://schemas.openxmlformats.org/spreadsheetml/2006/main" id="17" name="Table_17" displayName="Table_17" ref="C178:E178" headerRowCount="0">
  <tableColumns count="3">
    <tableColumn id="1" name="Column1"/>
    <tableColumn id="2" name="Column2"/>
    <tableColumn id="3" name="Column3"/>
  </tableColumns>
  <tableStyleInfo name="50 MM-style 17" showFirstColumn="1" showLastColumn="1" showRowStripes="1" showColumnStripes="0"/>
</table>
</file>

<file path=xl/tables/table18.xml><?xml version="1.0" encoding="utf-8"?>
<table xmlns="http://schemas.openxmlformats.org/spreadsheetml/2006/main" id="18" name="Table_18" displayName="Table_18" ref="C189:E189" headerRowCount="0">
  <tableColumns count="3">
    <tableColumn id="1" name="Column1"/>
    <tableColumn id="2" name="Column2"/>
    <tableColumn id="3" name="Column3"/>
  </tableColumns>
  <tableStyleInfo name="50 MM-style 18" showFirstColumn="1" showLastColumn="1" showRowStripes="1" showColumnStripes="0"/>
</table>
</file>

<file path=xl/tables/table19.xml><?xml version="1.0" encoding="utf-8"?>
<table xmlns="http://schemas.openxmlformats.org/spreadsheetml/2006/main" id="19" name="Table_19" displayName="Table_19" ref="C200:E200" headerRowCount="0">
  <tableColumns count="3">
    <tableColumn id="1" name="Column1"/>
    <tableColumn id="2" name="Column2"/>
    <tableColumn id="3" name="Column3"/>
  </tableColumns>
  <tableStyleInfo name="50 MM-style 19" showFirstColumn="1" showLastColumn="1" showRowStripes="1" showColumnStripes="0"/>
</table>
</file>

<file path=xl/tables/table20.xml><?xml version="1.0" encoding="utf-8"?>
<table xmlns="http://schemas.openxmlformats.org/spreadsheetml/2006/main" id="20" name="Table_20" displayName="Table_20" ref="C211:E211" headerRowCount="0">
  <tableColumns count="3">
    <tableColumn id="1" name="Column1"/>
    <tableColumn id="2" name="Column2"/>
    <tableColumn id="3" name="Column3"/>
  </tableColumns>
  <tableStyleInfo name="50 MM-style 20" showFirstColumn="1" showLastColumn="1" showRowStripes="1" showColumnStripes="0"/>
</table>
</file>

<file path=xl/tables/table21.xml><?xml version="1.0" encoding="utf-8"?>
<table xmlns="http://schemas.openxmlformats.org/spreadsheetml/2006/main" id="21" name="Table_21" displayName="Table_21" ref="C222:E222" headerRowCount="0">
  <tableColumns count="3">
    <tableColumn id="1" name="Column1"/>
    <tableColumn id="2" name="Column2"/>
    <tableColumn id="3" name="Column3"/>
  </tableColumns>
  <tableStyleInfo name="50 MM-style 21" showFirstColumn="1" showLastColumn="1" showRowStripes="1" showColumnStripes="0"/>
</table>
</file>

<file path=xl/tables/table22.xml><?xml version="1.0" encoding="utf-8"?>
<table xmlns="http://schemas.openxmlformats.org/spreadsheetml/2006/main" id="22" name="Table_22" displayName="Table_22" ref="C233:E233" headerRowCount="0">
  <tableColumns count="3">
    <tableColumn id="1" name="Column1"/>
    <tableColumn id="2" name="Column2"/>
    <tableColumn id="3" name="Column3"/>
  </tableColumns>
  <tableStyleInfo name="50 MM-style 22" showFirstColumn="1" showLastColumn="1" showRowStripes="1" showColumnStripes="0"/>
</table>
</file>

<file path=xl/tables/table23.xml><?xml version="1.0" encoding="utf-8"?>
<table xmlns="http://schemas.openxmlformats.org/spreadsheetml/2006/main" id="23" name="Table_23" displayName="Table_23" ref="C244:E244" headerRowCount="0">
  <tableColumns count="3">
    <tableColumn id="1" name="Column1"/>
    <tableColumn id="2" name="Column2"/>
    <tableColumn id="3" name="Column3"/>
  </tableColumns>
  <tableStyleInfo name="50 MM-style 23" showFirstColumn="1" showLastColumn="1" showRowStripes="1" showColumnStripes="0"/>
</table>
</file>

<file path=xl/tables/table24.xml><?xml version="1.0" encoding="utf-8"?>
<table xmlns="http://schemas.openxmlformats.org/spreadsheetml/2006/main" id="24" name="Table_24" displayName="Table_24" ref="C255:E255" headerRowCount="0">
  <tableColumns count="3">
    <tableColumn id="1" name="Column1"/>
    <tableColumn id="2" name="Column2"/>
    <tableColumn id="3" name="Column3"/>
  </tableColumns>
  <tableStyleInfo name="50 MM-style 24" showFirstColumn="1" showLastColumn="1" showRowStripes="1" showColumnStripes="0"/>
</table>
</file>

<file path=xl/tables/table25.xml><?xml version="1.0" encoding="utf-8"?>
<table xmlns="http://schemas.openxmlformats.org/spreadsheetml/2006/main" id="25" name="Table_25" displayName="Table_25" ref="C266:E266" headerRowCount="0">
  <tableColumns count="3">
    <tableColumn id="1" name="Column1"/>
    <tableColumn id="2" name="Column2"/>
    <tableColumn id="3" name="Column3"/>
  </tableColumns>
  <tableStyleInfo name="50 MM-style 25" showFirstColumn="1" showLastColumn="1" showRowStripes="1" showColumnStripes="0"/>
</table>
</file>

<file path=xl/tables/table26.xml><?xml version="1.0" encoding="utf-8"?>
<table xmlns="http://schemas.openxmlformats.org/spreadsheetml/2006/main" id="26" name="Table_26" displayName="Table_26" ref="C277:E277" headerRowCount="0">
  <tableColumns count="3">
    <tableColumn id="1" name="Column1"/>
    <tableColumn id="2" name="Column2"/>
    <tableColumn id="3" name="Column3"/>
  </tableColumns>
  <tableStyleInfo name="50 MM-style 26" showFirstColumn="1" showLastColumn="1" showRowStripes="1" showColumnStripes="0"/>
</table>
</file>

<file path=xl/tables/table27.xml><?xml version="1.0" encoding="utf-8"?>
<table xmlns="http://schemas.openxmlformats.org/spreadsheetml/2006/main" id="27" name="Table_27" displayName="Table_27" ref="C288:E288" headerRowCount="0">
  <tableColumns count="3">
    <tableColumn id="1" name="Column1"/>
    <tableColumn id="2" name="Column2"/>
    <tableColumn id="3" name="Column3"/>
  </tableColumns>
  <tableStyleInfo name="50 MM-style 27" showFirstColumn="1" showLastColumn="1" showRowStripes="1" showColumnStripes="0"/>
</table>
</file>

<file path=xl/tables/table28.xml><?xml version="1.0" encoding="utf-8"?>
<table xmlns="http://schemas.openxmlformats.org/spreadsheetml/2006/main" id="28" name="Table_28" displayName="Table_28" ref="C299:E299" headerRowCount="0">
  <tableColumns count="3">
    <tableColumn id="1" name="Column1"/>
    <tableColumn id="2" name="Column2"/>
    <tableColumn id="3" name="Column3"/>
  </tableColumns>
  <tableStyleInfo name="50 MM-style 28" showFirstColumn="1" showLastColumn="1" showRowStripes="1" showColumnStripes="0"/>
</table>
</file>

<file path=xl/tables/table29.xml><?xml version="1.0" encoding="utf-8"?>
<table xmlns="http://schemas.openxmlformats.org/spreadsheetml/2006/main" id="29" name="Table_29" displayName="Table_29" ref="C310:E310" headerRowCount="0">
  <tableColumns count="3">
    <tableColumn id="1" name="Column1"/>
    <tableColumn id="2" name="Column2"/>
    <tableColumn id="3" name="Column3"/>
  </tableColumns>
  <tableStyleInfo name="50 MM-style 29" showFirstColumn="1" showLastColumn="1" showRowStripes="1" showColumnStripes="0"/>
</table>
</file>

<file path=xl/tables/table30.xml><?xml version="1.0" encoding="utf-8"?>
<table xmlns="http://schemas.openxmlformats.org/spreadsheetml/2006/main" id="30" name="Table_30" displayName="Table_30" ref="C321:E321" headerRowCount="0">
  <tableColumns count="3">
    <tableColumn id="1" name="Column1"/>
    <tableColumn id="2" name="Column2"/>
    <tableColumn id="3" name="Column3"/>
  </tableColumns>
  <tableStyleInfo name="50 MM-style 30" showFirstColumn="1" showLastColumn="1" showRowStripes="1" showColumnStripes="0"/>
</table>
</file>

<file path=xl/tables/table31.xml><?xml version="1.0" encoding="utf-8"?>
<table xmlns="http://schemas.openxmlformats.org/spreadsheetml/2006/main" id="31" name="Table_31" displayName="Table_31" ref="C57:E57" headerRowCount="0">
  <tableColumns count="3">
    <tableColumn id="1" name="Column1"/>
    <tableColumn id="2" name="Column2"/>
    <tableColumn id="3" name="Column3"/>
  </tableColumns>
  <tableStyleInfo name="150 MM-style" showFirstColumn="1" showLastColumn="1" showRowStripes="1" showColumnStripes="0"/>
</table>
</file>

<file path=xl/tables/table32.xml><?xml version="1.0" encoding="utf-8"?>
<table xmlns="http://schemas.openxmlformats.org/spreadsheetml/2006/main" id="32" name="Table_32" displayName="Table_32" ref="C68:E68" headerRowCount="0">
  <tableColumns count="3">
    <tableColumn id="1" name="Column1"/>
    <tableColumn id="2" name="Column2"/>
    <tableColumn id="3" name="Column3"/>
  </tableColumns>
  <tableStyleInfo name="150 MM-style 2" showFirstColumn="1" showLastColumn="1" showRowStripes="1" showColumnStripes="0"/>
</table>
</file>

<file path=xl/tables/table33.xml><?xml version="1.0" encoding="utf-8"?>
<table xmlns="http://schemas.openxmlformats.org/spreadsheetml/2006/main" id="33" name="Table_33" displayName="Table_33" ref="C233:E233" headerRowCount="0">
  <tableColumns count="3">
    <tableColumn id="1" name="Column1"/>
    <tableColumn id="2" name="Column2"/>
    <tableColumn id="3" name="Column3"/>
  </tableColumns>
  <tableStyleInfo name="150 MM-style 3" showFirstColumn="1" showLastColumn="1" showRowStripes="1" showColumnStripes="0"/>
</table>
</file>

<file path=xl/tables/table34.xml><?xml version="1.0" encoding="utf-8"?>
<table xmlns="http://schemas.openxmlformats.org/spreadsheetml/2006/main" id="34" name="Table_34" displayName="Table_34" ref="C244:E244" headerRowCount="0">
  <tableColumns count="3">
    <tableColumn id="1" name="Column1"/>
    <tableColumn id="2" name="Column2"/>
    <tableColumn id="3" name="Column3"/>
  </tableColumns>
  <tableStyleInfo name="150 MM-style 4" showFirstColumn="1" showLastColumn="1" showRowStripes="1" showColumnStripes="0"/>
</table>
</file>

<file path=xl/tables/table35.xml><?xml version="1.0" encoding="utf-8"?>
<table xmlns="http://schemas.openxmlformats.org/spreadsheetml/2006/main" id="35" name="Table_35" displayName="Table_35" ref="C255:E255" headerRowCount="0">
  <tableColumns count="3">
    <tableColumn id="1" name="Column1"/>
    <tableColumn id="2" name="Column2"/>
    <tableColumn id="3" name="Column3"/>
  </tableColumns>
  <tableStyleInfo name="150 MM-style 5" showFirstColumn="1" showLastColumn="1" showRowStripes="1" showColumnStripes="0"/>
</table>
</file>

<file path=xl/tables/table36.xml><?xml version="1.0" encoding="utf-8"?>
<table xmlns="http://schemas.openxmlformats.org/spreadsheetml/2006/main" id="36" name="Table_36" displayName="Table_36" ref="C266:E266" headerRowCount="0">
  <tableColumns count="3">
    <tableColumn id="1" name="Column1"/>
    <tableColumn id="2" name="Column2"/>
    <tableColumn id="3" name="Column3"/>
  </tableColumns>
  <tableStyleInfo name="150 MM-style 6" showFirstColumn="1" showLastColumn="1" showRowStripes="1" showColumnStripes="0"/>
</table>
</file>

<file path=xl/tables/table37.xml><?xml version="1.0" encoding="utf-8"?>
<table xmlns="http://schemas.openxmlformats.org/spreadsheetml/2006/main" id="37" name="Table_37" displayName="Table_37" ref="C288:E288" headerRowCount="0">
  <tableColumns count="3">
    <tableColumn id="1" name="Column1"/>
    <tableColumn id="2" name="Column2"/>
    <tableColumn id="3" name="Column3"/>
  </tableColumns>
  <tableStyleInfo name="150 MM-style 7" showFirstColumn="1" showLastColumn="1" showRowStripes="1" showColumnStripes="0"/>
</table>
</file>

<file path=xl/tables/table38.xml><?xml version="1.0" encoding="utf-8"?>
<table xmlns="http://schemas.openxmlformats.org/spreadsheetml/2006/main" id="38" name="Table_38" displayName="Table_38" ref="C299:E299" headerRowCount="0">
  <tableColumns count="3">
    <tableColumn id="1" name="Column1"/>
    <tableColumn id="2" name="Column2"/>
    <tableColumn id="3" name="Column3"/>
  </tableColumns>
  <tableStyleInfo name="150 MM-style 8" showFirstColumn="1" showLastColumn="1" showRowStripes="1" showColumnStripes="0"/>
</table>
</file>

<file path=xl/tables/table39.xml><?xml version="1.0" encoding="utf-8"?>
<table xmlns="http://schemas.openxmlformats.org/spreadsheetml/2006/main" id="39" name="Table_39" displayName="Table_39" ref="C310:E310" headerRowCount="0">
  <tableColumns count="3">
    <tableColumn id="1" name="Column1"/>
    <tableColumn id="2" name="Column2"/>
    <tableColumn id="3" name="Column3"/>
  </tableColumns>
  <tableStyleInfo name="150 MM-style 9" showFirstColumn="1" showLastColumn="1" showRowStripes="1" showColumnStripes="0"/>
</table>
</file>

<file path=xl/tables/table40.xml><?xml version="1.0" encoding="utf-8"?>
<table xmlns="http://schemas.openxmlformats.org/spreadsheetml/2006/main" id="40" name="Table_40" displayName="Table_40" ref="C321:E321" headerRowCount="0">
  <tableColumns count="3">
    <tableColumn id="1" name="Column1"/>
    <tableColumn id="2" name="Column2"/>
    <tableColumn id="3" name="Column3"/>
  </tableColumns>
  <tableStyleInfo name="150 MM-style 10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8.xml"/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10" Type="http://schemas.openxmlformats.org/officeDocument/2006/relationships/table" Target="../tables/table40.xml"/><Relationship Id="rId4" Type="http://schemas.openxmlformats.org/officeDocument/2006/relationships/table" Target="../tables/table34.xml"/><Relationship Id="rId9" Type="http://schemas.openxmlformats.org/officeDocument/2006/relationships/table" Target="../tables/table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tabSelected="1" workbookViewId="0">
      <selection activeCell="K10" sqref="K10"/>
    </sheetView>
  </sheetViews>
  <sheetFormatPr defaultColWidth="12.6640625" defaultRowHeight="15.75" customHeight="1" x14ac:dyDescent="0.25"/>
  <cols>
    <col min="1" max="1" width="9.88671875" customWidth="1"/>
    <col min="2" max="2" width="12.109375" customWidth="1"/>
    <col min="7" max="7" width="9.21875" style="62" customWidth="1"/>
    <col min="8" max="8" width="27.44140625" customWidth="1"/>
    <col min="9" max="9" width="12.6640625" style="62"/>
    <col min="10" max="10" width="12.6640625" style="67"/>
  </cols>
  <sheetData>
    <row r="1" spans="1:16" ht="13.2" x14ac:dyDescent="0.25">
      <c r="A1" s="1" t="s">
        <v>0</v>
      </c>
      <c r="B1" s="2" t="s">
        <v>1</v>
      </c>
      <c r="C1" s="2" t="s">
        <v>2</v>
      </c>
      <c r="D1" s="2" t="s">
        <v>3</v>
      </c>
      <c r="G1" s="63" t="s">
        <v>80</v>
      </c>
      <c r="H1" s="61" t="s">
        <v>81</v>
      </c>
      <c r="I1" s="63" t="s">
        <v>82</v>
      </c>
    </row>
    <row r="2" spans="1:16" ht="15.75" customHeight="1" x14ac:dyDescent="0.25">
      <c r="A2" s="1">
        <v>1</v>
      </c>
      <c r="B2" s="3" t="s">
        <v>4</v>
      </c>
      <c r="C2" s="4" t="s">
        <v>5</v>
      </c>
      <c r="D2" s="4">
        <v>3</v>
      </c>
      <c r="E2" s="5"/>
      <c r="F2" s="5"/>
      <c r="G2" s="64">
        <v>1</v>
      </c>
      <c r="H2" s="60" t="s">
        <v>83</v>
      </c>
      <c r="I2" s="64" t="s">
        <v>84</v>
      </c>
      <c r="J2" s="66" t="s">
        <v>36</v>
      </c>
      <c r="K2" s="5"/>
      <c r="L2" s="5"/>
      <c r="M2" s="5"/>
      <c r="N2" s="5"/>
      <c r="O2" s="5"/>
      <c r="P2" s="5"/>
    </row>
    <row r="3" spans="1:16" ht="15.75" customHeight="1" x14ac:dyDescent="0.25">
      <c r="A3" s="1">
        <v>2</v>
      </c>
      <c r="B3" s="3" t="s">
        <v>6</v>
      </c>
      <c r="C3" s="1" t="s">
        <v>7</v>
      </c>
      <c r="D3" s="4">
        <v>3</v>
      </c>
      <c r="G3" s="64">
        <v>2</v>
      </c>
      <c r="H3" s="60" t="s">
        <v>85</v>
      </c>
      <c r="I3" s="64" t="s">
        <v>86</v>
      </c>
      <c r="J3" s="66"/>
      <c r="K3" s="65" t="s">
        <v>115</v>
      </c>
    </row>
    <row r="4" spans="1:16" ht="15.75" customHeight="1" x14ac:dyDescent="0.25">
      <c r="A4" s="1">
        <v>3</v>
      </c>
      <c r="B4" s="3" t="s">
        <v>8</v>
      </c>
      <c r="C4" s="1" t="s">
        <v>9</v>
      </c>
      <c r="D4" s="4">
        <v>3</v>
      </c>
      <c r="G4" s="64">
        <v>3</v>
      </c>
      <c r="H4" s="60" t="s">
        <v>87</v>
      </c>
      <c r="I4" s="64" t="s">
        <v>88</v>
      </c>
      <c r="J4" s="68" t="s">
        <v>37</v>
      </c>
    </row>
    <row r="5" spans="1:16" ht="15.75" customHeight="1" x14ac:dyDescent="0.25">
      <c r="A5" s="1">
        <v>4</v>
      </c>
      <c r="B5" s="3" t="s">
        <v>10</v>
      </c>
      <c r="C5" s="1" t="s">
        <v>11</v>
      </c>
      <c r="D5" s="4">
        <v>3</v>
      </c>
      <c r="G5" s="64">
        <v>4</v>
      </c>
      <c r="H5" s="60" t="s">
        <v>89</v>
      </c>
      <c r="I5" s="64" t="s">
        <v>90</v>
      </c>
      <c r="J5" s="68"/>
    </row>
    <row r="6" spans="1:16" ht="15.75" customHeight="1" x14ac:dyDescent="0.25">
      <c r="A6" s="1">
        <v>5</v>
      </c>
      <c r="B6" s="3" t="s">
        <v>12</v>
      </c>
      <c r="C6" s="1" t="s">
        <v>13</v>
      </c>
      <c r="D6" s="4">
        <v>3</v>
      </c>
      <c r="G6" s="64">
        <v>5</v>
      </c>
      <c r="H6" s="60" t="s">
        <v>91</v>
      </c>
      <c r="I6" s="64" t="s">
        <v>92</v>
      </c>
    </row>
    <row r="7" spans="1:16" ht="15.75" customHeight="1" x14ac:dyDescent="0.25">
      <c r="A7" s="1">
        <v>6</v>
      </c>
      <c r="B7" s="3" t="s">
        <v>14</v>
      </c>
      <c r="C7" s="1" t="s">
        <v>15</v>
      </c>
      <c r="D7" s="4">
        <v>3</v>
      </c>
      <c r="G7" s="64">
        <v>6</v>
      </c>
      <c r="H7" s="60" t="s">
        <v>93</v>
      </c>
      <c r="I7" s="64" t="s">
        <v>94</v>
      </c>
    </row>
    <row r="8" spans="1:16" ht="15.75" customHeight="1" x14ac:dyDescent="0.25">
      <c r="A8" s="1">
        <v>7</v>
      </c>
      <c r="B8" s="3" t="s">
        <v>16</v>
      </c>
      <c r="C8" s="1" t="s">
        <v>7</v>
      </c>
      <c r="D8" s="1">
        <v>2</v>
      </c>
      <c r="G8" s="64">
        <v>7</v>
      </c>
      <c r="H8" s="60" t="s">
        <v>95</v>
      </c>
      <c r="I8" s="64" t="s">
        <v>96</v>
      </c>
      <c r="J8" s="69" t="s">
        <v>40</v>
      </c>
    </row>
    <row r="9" spans="1:16" ht="15.75" customHeight="1" x14ac:dyDescent="0.25">
      <c r="A9" s="1">
        <v>8</v>
      </c>
      <c r="B9" s="3" t="s">
        <v>17</v>
      </c>
      <c r="C9" s="1" t="s">
        <v>9</v>
      </c>
      <c r="D9" s="1">
        <v>2</v>
      </c>
      <c r="G9" s="64">
        <v>8</v>
      </c>
      <c r="H9" s="60" t="s">
        <v>97</v>
      </c>
      <c r="I9" s="64" t="s">
        <v>98</v>
      </c>
      <c r="J9" s="69"/>
    </row>
    <row r="10" spans="1:16" ht="15.75" customHeight="1" x14ac:dyDescent="0.25">
      <c r="A10" s="1">
        <v>9</v>
      </c>
      <c r="B10" s="3" t="s">
        <v>18</v>
      </c>
      <c r="C10" s="1" t="s">
        <v>11</v>
      </c>
      <c r="D10" s="1">
        <v>2</v>
      </c>
      <c r="G10" s="64">
        <v>9</v>
      </c>
      <c r="H10" s="60" t="s">
        <v>99</v>
      </c>
      <c r="I10" s="64" t="s">
        <v>100</v>
      </c>
      <c r="J10" s="70"/>
    </row>
    <row r="11" spans="1:16" ht="15.75" customHeight="1" x14ac:dyDescent="0.25">
      <c r="A11" s="1">
        <v>10</v>
      </c>
      <c r="B11" s="3" t="s">
        <v>19</v>
      </c>
      <c r="C11" s="1" t="s">
        <v>13</v>
      </c>
      <c r="D11" s="1">
        <v>2</v>
      </c>
      <c r="G11" s="64">
        <v>10</v>
      </c>
      <c r="H11" s="60" t="s">
        <v>101</v>
      </c>
      <c r="I11" s="64" t="s">
        <v>102</v>
      </c>
      <c r="J11" s="70"/>
    </row>
    <row r="12" spans="1:16" ht="15.75" customHeight="1" x14ac:dyDescent="0.25">
      <c r="A12" s="1">
        <v>11</v>
      </c>
      <c r="B12" s="3" t="s">
        <v>20</v>
      </c>
      <c r="C12" s="1" t="s">
        <v>15</v>
      </c>
      <c r="D12" s="1">
        <v>2</v>
      </c>
      <c r="G12" s="64">
        <v>11</v>
      </c>
      <c r="H12" s="60" t="s">
        <v>103</v>
      </c>
      <c r="I12" s="64" t="s">
        <v>104</v>
      </c>
      <c r="J12" s="69" t="s">
        <v>43</v>
      </c>
    </row>
    <row r="13" spans="1:16" ht="15.75" customHeight="1" x14ac:dyDescent="0.25">
      <c r="A13" s="1">
        <v>12</v>
      </c>
      <c r="B13" s="3" t="s">
        <v>21</v>
      </c>
      <c r="C13" s="1" t="s">
        <v>9</v>
      </c>
      <c r="D13" s="1">
        <v>1</v>
      </c>
      <c r="G13" s="64">
        <v>12</v>
      </c>
      <c r="H13" s="60" t="s">
        <v>105</v>
      </c>
      <c r="I13" s="64" t="s">
        <v>106</v>
      </c>
      <c r="J13" s="69"/>
    </row>
    <row r="14" spans="1:16" ht="15.75" customHeight="1" x14ac:dyDescent="0.25">
      <c r="A14" s="1">
        <v>13</v>
      </c>
      <c r="B14" s="3" t="s">
        <v>22</v>
      </c>
      <c r="C14" s="1" t="s">
        <v>11</v>
      </c>
      <c r="D14" s="1">
        <v>1</v>
      </c>
      <c r="G14" s="64">
        <v>13</v>
      </c>
      <c r="H14" s="60" t="s">
        <v>107</v>
      </c>
      <c r="I14" s="64" t="s">
        <v>108</v>
      </c>
      <c r="J14" s="70"/>
    </row>
    <row r="15" spans="1:16" ht="15.75" customHeight="1" x14ac:dyDescent="0.25">
      <c r="A15" s="1">
        <v>14</v>
      </c>
      <c r="B15" s="3" t="s">
        <v>23</v>
      </c>
      <c r="C15" s="1" t="s">
        <v>13</v>
      </c>
      <c r="D15" s="1">
        <v>1</v>
      </c>
      <c r="G15" s="64">
        <v>14</v>
      </c>
      <c r="H15" s="60" t="s">
        <v>109</v>
      </c>
      <c r="I15" s="64" t="s">
        <v>110</v>
      </c>
      <c r="J15" s="70"/>
    </row>
    <row r="16" spans="1:16" ht="15.75" customHeight="1" x14ac:dyDescent="0.25">
      <c r="A16" s="1">
        <v>15</v>
      </c>
      <c r="B16" s="3" t="s">
        <v>24</v>
      </c>
      <c r="C16" s="1" t="s">
        <v>15</v>
      </c>
      <c r="D16" s="1">
        <v>1</v>
      </c>
      <c r="G16" s="64">
        <v>15</v>
      </c>
      <c r="H16" s="60" t="s">
        <v>111</v>
      </c>
      <c r="I16" s="64" t="s">
        <v>112</v>
      </c>
      <c r="J16" s="69" t="s">
        <v>46</v>
      </c>
    </row>
    <row r="17" spans="1:10" ht="15.75" customHeight="1" x14ac:dyDescent="0.25">
      <c r="A17" s="6"/>
      <c r="C17" s="6"/>
      <c r="D17" s="6"/>
      <c r="G17" s="64">
        <v>16</v>
      </c>
      <c r="H17" s="60" t="s">
        <v>113</v>
      </c>
      <c r="I17" s="64" t="s">
        <v>114</v>
      </c>
      <c r="J17" s="69"/>
    </row>
    <row r="18" spans="1:10" ht="15.75" customHeight="1" x14ac:dyDescent="0.25">
      <c r="A18" s="7" t="s">
        <v>25</v>
      </c>
      <c r="B18" s="1" t="s">
        <v>26</v>
      </c>
      <c r="C18" s="1" t="s">
        <v>27</v>
      </c>
      <c r="D18" s="1" t="s">
        <v>28</v>
      </c>
    </row>
    <row r="19" spans="1:10" ht="13.2" x14ac:dyDescent="0.25">
      <c r="A19" s="6"/>
      <c r="C19" s="6"/>
      <c r="D19" s="6"/>
    </row>
    <row r="20" spans="1:10" ht="13.2" x14ac:dyDescent="0.25">
      <c r="A20" s="8" t="s">
        <v>29</v>
      </c>
      <c r="B20" s="8" t="s">
        <v>30</v>
      </c>
      <c r="C20" s="8" t="s">
        <v>31</v>
      </c>
      <c r="D20" s="9"/>
    </row>
    <row r="21" spans="1:10" ht="13.2" x14ac:dyDescent="0.25">
      <c r="A21" s="6"/>
      <c r="C21" s="6"/>
      <c r="D21" s="6"/>
    </row>
    <row r="22" spans="1:10" ht="13.2" x14ac:dyDescent="0.25">
      <c r="A22" s="58" t="s">
        <v>32</v>
      </c>
      <c r="B22" s="59"/>
      <c r="C22" s="59"/>
      <c r="D22" s="59"/>
      <c r="E22" s="10" t="s">
        <v>33</v>
      </c>
    </row>
    <row r="23" spans="1:10" ht="13.2" x14ac:dyDescent="0.25">
      <c r="A23" s="6"/>
      <c r="C23" s="6"/>
      <c r="D23" s="6"/>
    </row>
    <row r="24" spans="1:10" ht="13.2" x14ac:dyDescent="0.25">
      <c r="A24" s="6"/>
      <c r="C24" s="6"/>
      <c r="D24" s="6"/>
    </row>
    <row r="25" spans="1:10" ht="13.2" x14ac:dyDescent="0.25">
      <c r="A25" s="6"/>
      <c r="B25" s="57"/>
      <c r="C25" s="6"/>
      <c r="D25" s="6"/>
    </row>
    <row r="26" spans="1:10" ht="13.2" x14ac:dyDescent="0.25">
      <c r="A26" s="6"/>
      <c r="B26" s="57"/>
      <c r="C26" s="6"/>
      <c r="D26" s="6"/>
    </row>
    <row r="27" spans="1:10" ht="13.2" x14ac:dyDescent="0.25">
      <c r="A27" s="6"/>
      <c r="B27" s="57"/>
      <c r="C27" s="6"/>
      <c r="D27" s="6"/>
    </row>
    <row r="28" spans="1:10" ht="13.2" x14ac:dyDescent="0.25">
      <c r="A28" s="6"/>
      <c r="B28" s="57"/>
      <c r="C28" s="6"/>
      <c r="D28" s="6"/>
    </row>
    <row r="29" spans="1:10" ht="13.2" x14ac:dyDescent="0.25">
      <c r="A29" s="6"/>
      <c r="B29" s="57"/>
      <c r="C29" s="6"/>
      <c r="D29" s="6"/>
    </row>
    <row r="30" spans="1:10" ht="13.2" x14ac:dyDescent="0.25">
      <c r="A30" s="6"/>
      <c r="B30" s="57"/>
      <c r="C30" s="6"/>
      <c r="D30" s="6"/>
    </row>
    <row r="31" spans="1:10" ht="13.2" x14ac:dyDescent="0.25">
      <c r="A31" s="6"/>
      <c r="B31" s="57"/>
      <c r="C31" s="6"/>
      <c r="D31" s="6"/>
    </row>
    <row r="32" spans="1:10" ht="13.2" x14ac:dyDescent="0.25">
      <c r="A32" s="6"/>
      <c r="B32" s="57"/>
      <c r="C32" s="6"/>
      <c r="D32" s="6"/>
    </row>
    <row r="33" spans="1:4" ht="13.2" x14ac:dyDescent="0.25">
      <c r="A33" s="6"/>
      <c r="B33" s="57"/>
      <c r="C33" s="6"/>
      <c r="D33" s="6"/>
    </row>
    <row r="34" spans="1:4" ht="13.2" x14ac:dyDescent="0.25">
      <c r="A34" s="6"/>
      <c r="B34" s="57"/>
      <c r="C34" s="6"/>
      <c r="D34" s="6"/>
    </row>
    <row r="35" spans="1:4" ht="13.2" x14ac:dyDescent="0.25">
      <c r="A35" s="6"/>
      <c r="B35" s="57"/>
      <c r="C35" s="6"/>
      <c r="D35" s="6"/>
    </row>
    <row r="36" spans="1:4" ht="13.2" x14ac:dyDescent="0.25">
      <c r="A36" s="6"/>
      <c r="B36" s="57"/>
      <c r="C36" s="6"/>
      <c r="D36" s="6"/>
    </row>
    <row r="37" spans="1:4" ht="13.2" x14ac:dyDescent="0.25">
      <c r="A37" s="6"/>
      <c r="B37" s="57"/>
      <c r="C37" s="6"/>
      <c r="D37" s="6"/>
    </row>
    <row r="38" spans="1:4" ht="13.2" x14ac:dyDescent="0.25">
      <c r="A38" s="6"/>
      <c r="B38" s="57"/>
      <c r="C38" s="6"/>
      <c r="D38" s="6"/>
    </row>
    <row r="39" spans="1:4" ht="13.2" x14ac:dyDescent="0.25">
      <c r="A39" s="6"/>
      <c r="B39" s="57"/>
      <c r="C39" s="6"/>
      <c r="D39" s="6"/>
    </row>
    <row r="40" spans="1:4" ht="13.2" x14ac:dyDescent="0.25">
      <c r="A40" s="6"/>
      <c r="B40" s="57"/>
      <c r="C40" s="6"/>
      <c r="D40" s="6"/>
    </row>
    <row r="41" spans="1:4" ht="13.2" x14ac:dyDescent="0.25">
      <c r="A41" s="6"/>
      <c r="B41" s="57"/>
      <c r="C41" s="6"/>
      <c r="D41" s="6"/>
    </row>
    <row r="42" spans="1:4" ht="13.2" x14ac:dyDescent="0.25">
      <c r="A42" s="6"/>
      <c r="C42" s="6"/>
      <c r="D42" s="6"/>
    </row>
    <row r="43" spans="1:4" ht="13.2" x14ac:dyDescent="0.25">
      <c r="A43" s="6"/>
      <c r="C43" s="6"/>
      <c r="D43" s="6"/>
    </row>
    <row r="44" spans="1:4" ht="13.2" x14ac:dyDescent="0.25">
      <c r="A44" s="6"/>
      <c r="C44" s="6"/>
      <c r="D44" s="6"/>
    </row>
    <row r="45" spans="1:4" ht="13.2" x14ac:dyDescent="0.25">
      <c r="A45" s="6"/>
      <c r="C45" s="6"/>
      <c r="D45" s="6"/>
    </row>
    <row r="46" spans="1:4" ht="13.2" x14ac:dyDescent="0.25">
      <c r="A46" s="6"/>
      <c r="C46" s="6"/>
      <c r="D46" s="6"/>
    </row>
    <row r="47" spans="1:4" ht="13.2" x14ac:dyDescent="0.25">
      <c r="A47" s="6"/>
      <c r="C47" s="6"/>
      <c r="D47" s="6"/>
    </row>
    <row r="48" spans="1:4" ht="13.2" x14ac:dyDescent="0.25">
      <c r="A48" s="6"/>
      <c r="C48" s="6"/>
      <c r="D48" s="6"/>
    </row>
    <row r="49" spans="1:4" ht="13.2" x14ac:dyDescent="0.25">
      <c r="A49" s="6"/>
      <c r="C49" s="6"/>
      <c r="D49" s="6"/>
    </row>
    <row r="50" spans="1:4" ht="13.2" x14ac:dyDescent="0.25">
      <c r="A50" s="6"/>
      <c r="C50" s="6"/>
      <c r="D50" s="6"/>
    </row>
    <row r="51" spans="1:4" ht="13.2" x14ac:dyDescent="0.25">
      <c r="A51" s="6"/>
      <c r="C51" s="6"/>
      <c r="D51" s="6"/>
    </row>
    <row r="52" spans="1:4" ht="13.2" x14ac:dyDescent="0.25">
      <c r="A52" s="6"/>
      <c r="C52" s="6"/>
      <c r="D52" s="6"/>
    </row>
    <row r="53" spans="1:4" ht="13.2" x14ac:dyDescent="0.25">
      <c r="A53" s="6"/>
      <c r="C53" s="6"/>
      <c r="D53" s="6"/>
    </row>
    <row r="54" spans="1:4" ht="13.2" x14ac:dyDescent="0.25">
      <c r="A54" s="6"/>
      <c r="C54" s="6"/>
      <c r="D54" s="6"/>
    </row>
    <row r="55" spans="1:4" ht="13.2" x14ac:dyDescent="0.25">
      <c r="A55" s="6"/>
      <c r="C55" s="6"/>
      <c r="D55" s="6"/>
    </row>
    <row r="56" spans="1:4" ht="13.2" x14ac:dyDescent="0.25">
      <c r="A56" s="6"/>
      <c r="C56" s="6"/>
      <c r="D56" s="6"/>
    </row>
    <row r="57" spans="1:4" ht="13.2" x14ac:dyDescent="0.25">
      <c r="A57" s="6"/>
      <c r="C57" s="6"/>
      <c r="D57" s="6"/>
    </row>
    <row r="58" spans="1:4" ht="13.2" x14ac:dyDescent="0.25">
      <c r="A58" s="6"/>
      <c r="C58" s="6"/>
      <c r="D58" s="6"/>
    </row>
    <row r="59" spans="1:4" ht="13.2" x14ac:dyDescent="0.25">
      <c r="A59" s="6"/>
      <c r="C59" s="6"/>
      <c r="D59" s="6"/>
    </row>
    <row r="60" spans="1:4" ht="13.2" x14ac:dyDescent="0.25">
      <c r="A60" s="6"/>
      <c r="C60" s="6"/>
      <c r="D60" s="6"/>
    </row>
    <row r="61" spans="1:4" ht="13.2" x14ac:dyDescent="0.25">
      <c r="A61" s="6"/>
      <c r="C61" s="6"/>
      <c r="D61" s="6"/>
    </row>
    <row r="62" spans="1:4" ht="13.2" x14ac:dyDescent="0.25">
      <c r="A62" s="6"/>
      <c r="C62" s="6"/>
      <c r="D62" s="6"/>
    </row>
    <row r="63" spans="1:4" ht="13.2" x14ac:dyDescent="0.25">
      <c r="A63" s="6"/>
      <c r="C63" s="6"/>
      <c r="D63" s="6"/>
    </row>
    <row r="64" spans="1:4" ht="13.2" x14ac:dyDescent="0.25">
      <c r="A64" s="6"/>
      <c r="C64" s="6"/>
      <c r="D64" s="6"/>
    </row>
    <row r="65" spans="1:4" ht="13.2" x14ac:dyDescent="0.25">
      <c r="A65" s="6"/>
      <c r="C65" s="6"/>
      <c r="D65" s="6"/>
    </row>
    <row r="66" spans="1:4" ht="13.2" x14ac:dyDescent="0.25">
      <c r="A66" s="6"/>
      <c r="C66" s="6"/>
      <c r="D66" s="6"/>
    </row>
    <row r="67" spans="1:4" ht="13.2" x14ac:dyDescent="0.25">
      <c r="A67" s="6"/>
      <c r="C67" s="6"/>
      <c r="D67" s="6"/>
    </row>
    <row r="68" spans="1:4" ht="13.2" x14ac:dyDescent="0.25">
      <c r="A68" s="6"/>
      <c r="C68" s="6"/>
      <c r="D68" s="6"/>
    </row>
    <row r="69" spans="1:4" ht="13.2" x14ac:dyDescent="0.25">
      <c r="A69" s="6"/>
      <c r="C69" s="6"/>
      <c r="D69" s="6"/>
    </row>
    <row r="70" spans="1:4" ht="13.2" x14ac:dyDescent="0.25">
      <c r="A70" s="6"/>
      <c r="C70" s="6"/>
      <c r="D70" s="6"/>
    </row>
    <row r="71" spans="1:4" ht="13.2" x14ac:dyDescent="0.25">
      <c r="A71" s="6"/>
      <c r="C71" s="6"/>
      <c r="D71" s="6"/>
    </row>
    <row r="72" spans="1:4" ht="13.2" x14ac:dyDescent="0.25">
      <c r="A72" s="6"/>
      <c r="C72" s="6"/>
      <c r="D72" s="6"/>
    </row>
    <row r="73" spans="1:4" ht="13.2" x14ac:dyDescent="0.25">
      <c r="A73" s="6"/>
      <c r="C73" s="6"/>
      <c r="D73" s="6"/>
    </row>
    <row r="74" spans="1:4" ht="13.2" x14ac:dyDescent="0.25">
      <c r="A74" s="6"/>
      <c r="C74" s="6"/>
      <c r="D74" s="6"/>
    </row>
    <row r="75" spans="1:4" ht="13.2" x14ac:dyDescent="0.25">
      <c r="A75" s="6"/>
      <c r="C75" s="6"/>
      <c r="D75" s="6"/>
    </row>
    <row r="76" spans="1:4" ht="13.2" x14ac:dyDescent="0.25">
      <c r="A76" s="6"/>
      <c r="C76" s="6"/>
      <c r="D76" s="6"/>
    </row>
    <row r="77" spans="1:4" ht="13.2" x14ac:dyDescent="0.25">
      <c r="A77" s="6"/>
      <c r="C77" s="6"/>
      <c r="D77" s="6"/>
    </row>
    <row r="78" spans="1:4" ht="13.2" x14ac:dyDescent="0.25">
      <c r="A78" s="6"/>
      <c r="C78" s="6"/>
      <c r="D78" s="6"/>
    </row>
    <row r="79" spans="1:4" ht="13.2" x14ac:dyDescent="0.25">
      <c r="A79" s="6"/>
      <c r="C79" s="6"/>
      <c r="D79" s="6"/>
    </row>
    <row r="80" spans="1:4" ht="13.2" x14ac:dyDescent="0.25">
      <c r="A80" s="6"/>
      <c r="C80" s="6"/>
      <c r="D80" s="6"/>
    </row>
    <row r="81" spans="1:4" ht="13.2" x14ac:dyDescent="0.25">
      <c r="A81" s="6"/>
      <c r="C81" s="6"/>
      <c r="D81" s="6"/>
    </row>
    <row r="82" spans="1:4" ht="13.2" x14ac:dyDescent="0.25">
      <c r="A82" s="6"/>
      <c r="C82" s="6"/>
      <c r="D82" s="6"/>
    </row>
    <row r="83" spans="1:4" ht="13.2" x14ac:dyDescent="0.25">
      <c r="A83" s="6"/>
      <c r="C83" s="6"/>
      <c r="D83" s="6"/>
    </row>
    <row r="84" spans="1:4" ht="13.2" x14ac:dyDescent="0.25">
      <c r="A84" s="6"/>
      <c r="C84" s="6"/>
      <c r="D84" s="6"/>
    </row>
    <row r="85" spans="1:4" ht="13.2" x14ac:dyDescent="0.25">
      <c r="A85" s="6"/>
      <c r="C85" s="6"/>
      <c r="D85" s="6"/>
    </row>
    <row r="86" spans="1:4" ht="13.2" x14ac:dyDescent="0.25">
      <c r="A86" s="6"/>
      <c r="C86" s="6"/>
      <c r="D86" s="6"/>
    </row>
    <row r="87" spans="1:4" ht="13.2" x14ac:dyDescent="0.25">
      <c r="A87" s="6"/>
      <c r="C87" s="6"/>
      <c r="D87" s="6"/>
    </row>
    <row r="88" spans="1:4" ht="13.2" x14ac:dyDescent="0.25">
      <c r="A88" s="6"/>
      <c r="C88" s="6"/>
      <c r="D88" s="6"/>
    </row>
    <row r="89" spans="1:4" ht="13.2" x14ac:dyDescent="0.25">
      <c r="A89" s="6"/>
      <c r="C89" s="6"/>
      <c r="D89" s="6"/>
    </row>
    <row r="90" spans="1:4" ht="13.2" x14ac:dyDescent="0.25">
      <c r="A90" s="6"/>
      <c r="C90" s="6"/>
      <c r="D90" s="6"/>
    </row>
    <row r="91" spans="1:4" ht="13.2" x14ac:dyDescent="0.25">
      <c r="A91" s="6"/>
      <c r="C91" s="6"/>
      <c r="D91" s="6"/>
    </row>
    <row r="92" spans="1:4" ht="13.2" x14ac:dyDescent="0.25">
      <c r="A92" s="6"/>
      <c r="C92" s="6"/>
      <c r="D92" s="6"/>
    </row>
    <row r="93" spans="1:4" ht="13.2" x14ac:dyDescent="0.25">
      <c r="A93" s="6"/>
      <c r="C93" s="6"/>
      <c r="D93" s="6"/>
    </row>
    <row r="94" spans="1:4" ht="13.2" x14ac:dyDescent="0.25">
      <c r="A94" s="6"/>
      <c r="C94" s="6"/>
      <c r="D94" s="6"/>
    </row>
    <row r="95" spans="1:4" ht="13.2" x14ac:dyDescent="0.25">
      <c r="A95" s="6"/>
      <c r="C95" s="6"/>
      <c r="D95" s="6"/>
    </row>
    <row r="96" spans="1:4" ht="13.2" x14ac:dyDescent="0.25">
      <c r="A96" s="6"/>
      <c r="C96" s="6"/>
      <c r="D96" s="6"/>
    </row>
    <row r="97" spans="1:4" ht="13.2" x14ac:dyDescent="0.25">
      <c r="A97" s="6"/>
      <c r="C97" s="6"/>
      <c r="D97" s="6"/>
    </row>
    <row r="98" spans="1:4" ht="13.2" x14ac:dyDescent="0.25">
      <c r="A98" s="6"/>
      <c r="C98" s="6"/>
      <c r="D98" s="6"/>
    </row>
    <row r="99" spans="1:4" ht="13.2" x14ac:dyDescent="0.25">
      <c r="A99" s="6"/>
      <c r="C99" s="6"/>
      <c r="D99" s="6"/>
    </row>
    <row r="100" spans="1:4" ht="13.2" x14ac:dyDescent="0.25">
      <c r="A100" s="6"/>
      <c r="C100" s="6"/>
      <c r="D100" s="6"/>
    </row>
    <row r="101" spans="1:4" ht="13.2" x14ac:dyDescent="0.25">
      <c r="A101" s="6"/>
      <c r="C101" s="6"/>
      <c r="D101" s="6"/>
    </row>
    <row r="102" spans="1:4" ht="13.2" x14ac:dyDescent="0.25">
      <c r="A102" s="6"/>
      <c r="C102" s="6"/>
      <c r="D102" s="6"/>
    </row>
    <row r="103" spans="1:4" ht="13.2" x14ac:dyDescent="0.25">
      <c r="A103" s="6"/>
      <c r="C103" s="6"/>
      <c r="D103" s="6"/>
    </row>
    <row r="104" spans="1:4" ht="13.2" x14ac:dyDescent="0.25">
      <c r="A104" s="6"/>
      <c r="C104" s="6"/>
      <c r="D104" s="6"/>
    </row>
    <row r="105" spans="1:4" ht="13.2" x14ac:dyDescent="0.25">
      <c r="A105" s="6"/>
      <c r="C105" s="6"/>
      <c r="D105" s="6"/>
    </row>
    <row r="106" spans="1:4" ht="13.2" x14ac:dyDescent="0.25">
      <c r="A106" s="6"/>
      <c r="C106" s="6"/>
      <c r="D106" s="6"/>
    </row>
    <row r="107" spans="1:4" ht="13.2" x14ac:dyDescent="0.25">
      <c r="A107" s="6"/>
      <c r="C107" s="6"/>
      <c r="D107" s="6"/>
    </row>
    <row r="108" spans="1:4" ht="13.2" x14ac:dyDescent="0.25">
      <c r="A108" s="6"/>
      <c r="C108" s="6"/>
      <c r="D108" s="6"/>
    </row>
    <row r="109" spans="1:4" ht="13.2" x14ac:dyDescent="0.25">
      <c r="A109" s="6"/>
      <c r="C109" s="6"/>
      <c r="D109" s="6"/>
    </row>
    <row r="110" spans="1:4" ht="13.2" x14ac:dyDescent="0.25">
      <c r="A110" s="6"/>
      <c r="C110" s="6"/>
      <c r="D110" s="6"/>
    </row>
    <row r="111" spans="1:4" ht="13.2" x14ac:dyDescent="0.25">
      <c r="A111" s="6"/>
      <c r="C111" s="6"/>
      <c r="D111" s="6"/>
    </row>
    <row r="112" spans="1:4" ht="13.2" x14ac:dyDescent="0.25">
      <c r="A112" s="6"/>
      <c r="C112" s="6"/>
      <c r="D112" s="6"/>
    </row>
    <row r="113" spans="1:4" ht="13.2" x14ac:dyDescent="0.25">
      <c r="A113" s="6"/>
      <c r="C113" s="6"/>
      <c r="D113" s="6"/>
    </row>
    <row r="114" spans="1:4" ht="13.2" x14ac:dyDescent="0.25">
      <c r="A114" s="6"/>
      <c r="C114" s="6"/>
      <c r="D114" s="6"/>
    </row>
    <row r="115" spans="1:4" ht="13.2" x14ac:dyDescent="0.25">
      <c r="A115" s="6"/>
      <c r="C115" s="6"/>
      <c r="D115" s="6"/>
    </row>
    <row r="116" spans="1:4" ht="13.2" x14ac:dyDescent="0.25">
      <c r="A116" s="6"/>
      <c r="C116" s="6"/>
      <c r="D116" s="6"/>
    </row>
    <row r="117" spans="1:4" ht="13.2" x14ac:dyDescent="0.25">
      <c r="A117" s="6"/>
      <c r="C117" s="6"/>
      <c r="D117" s="6"/>
    </row>
    <row r="118" spans="1:4" ht="13.2" x14ac:dyDescent="0.25">
      <c r="A118" s="6"/>
      <c r="C118" s="6"/>
      <c r="D118" s="6"/>
    </row>
    <row r="119" spans="1:4" ht="13.2" x14ac:dyDescent="0.25">
      <c r="A119" s="6"/>
      <c r="C119" s="6"/>
      <c r="D119" s="6"/>
    </row>
    <row r="120" spans="1:4" ht="13.2" x14ac:dyDescent="0.25">
      <c r="A120" s="6"/>
      <c r="C120" s="6"/>
      <c r="D120" s="6"/>
    </row>
    <row r="121" spans="1:4" ht="13.2" x14ac:dyDescent="0.25">
      <c r="A121" s="6"/>
      <c r="C121" s="6"/>
      <c r="D121" s="6"/>
    </row>
    <row r="122" spans="1:4" ht="13.2" x14ac:dyDescent="0.25">
      <c r="A122" s="6"/>
      <c r="C122" s="6"/>
      <c r="D122" s="6"/>
    </row>
    <row r="123" spans="1:4" ht="13.2" x14ac:dyDescent="0.25">
      <c r="A123" s="6"/>
      <c r="C123" s="6"/>
      <c r="D123" s="6"/>
    </row>
    <row r="124" spans="1:4" ht="13.2" x14ac:dyDescent="0.25">
      <c r="A124" s="6"/>
      <c r="C124" s="6"/>
      <c r="D124" s="6"/>
    </row>
    <row r="125" spans="1:4" ht="13.2" x14ac:dyDescent="0.25">
      <c r="A125" s="6"/>
      <c r="C125" s="6"/>
      <c r="D125" s="6"/>
    </row>
    <row r="126" spans="1:4" ht="13.2" x14ac:dyDescent="0.25">
      <c r="A126" s="6"/>
      <c r="C126" s="6"/>
      <c r="D126" s="6"/>
    </row>
    <row r="127" spans="1:4" ht="13.2" x14ac:dyDescent="0.25">
      <c r="A127" s="6"/>
      <c r="C127" s="6"/>
      <c r="D127" s="6"/>
    </row>
    <row r="128" spans="1:4" ht="13.2" x14ac:dyDescent="0.25">
      <c r="A128" s="6"/>
      <c r="C128" s="6"/>
      <c r="D128" s="6"/>
    </row>
    <row r="129" spans="1:4" ht="13.2" x14ac:dyDescent="0.25">
      <c r="A129" s="6"/>
      <c r="C129" s="6"/>
      <c r="D129" s="6"/>
    </row>
    <row r="130" spans="1:4" ht="13.2" x14ac:dyDescent="0.25">
      <c r="A130" s="6"/>
      <c r="C130" s="6"/>
      <c r="D130" s="6"/>
    </row>
    <row r="131" spans="1:4" ht="13.2" x14ac:dyDescent="0.25">
      <c r="A131" s="6"/>
      <c r="C131" s="6"/>
      <c r="D131" s="6"/>
    </row>
    <row r="132" spans="1:4" ht="13.2" x14ac:dyDescent="0.25">
      <c r="A132" s="6"/>
      <c r="C132" s="6"/>
      <c r="D132" s="6"/>
    </row>
    <row r="133" spans="1:4" ht="13.2" x14ac:dyDescent="0.25">
      <c r="A133" s="6"/>
      <c r="C133" s="6"/>
      <c r="D133" s="6"/>
    </row>
    <row r="134" spans="1:4" ht="13.2" x14ac:dyDescent="0.25">
      <c r="A134" s="6"/>
      <c r="C134" s="6"/>
      <c r="D134" s="6"/>
    </row>
    <row r="135" spans="1:4" ht="13.2" x14ac:dyDescent="0.25">
      <c r="A135" s="6"/>
      <c r="C135" s="6"/>
      <c r="D135" s="6"/>
    </row>
    <row r="136" spans="1:4" ht="13.2" x14ac:dyDescent="0.25">
      <c r="A136" s="6"/>
      <c r="C136" s="6"/>
      <c r="D136" s="6"/>
    </row>
    <row r="137" spans="1:4" ht="13.2" x14ac:dyDescent="0.25">
      <c r="A137" s="6"/>
      <c r="C137" s="6"/>
      <c r="D137" s="6"/>
    </row>
    <row r="138" spans="1:4" ht="13.2" x14ac:dyDescent="0.25">
      <c r="A138" s="6"/>
      <c r="C138" s="6"/>
      <c r="D138" s="6"/>
    </row>
    <row r="139" spans="1:4" ht="13.2" x14ac:dyDescent="0.25">
      <c r="A139" s="6"/>
      <c r="C139" s="6"/>
      <c r="D139" s="6"/>
    </row>
    <row r="140" spans="1:4" ht="13.2" x14ac:dyDescent="0.25">
      <c r="A140" s="6"/>
      <c r="C140" s="6"/>
      <c r="D140" s="6"/>
    </row>
    <row r="141" spans="1:4" ht="13.2" x14ac:dyDescent="0.25">
      <c r="A141" s="6"/>
      <c r="C141" s="6"/>
      <c r="D141" s="6"/>
    </row>
    <row r="142" spans="1:4" ht="13.2" x14ac:dyDescent="0.25">
      <c r="A142" s="6"/>
      <c r="C142" s="6"/>
      <c r="D142" s="6"/>
    </row>
    <row r="143" spans="1:4" ht="13.2" x14ac:dyDescent="0.25">
      <c r="A143" s="6"/>
      <c r="C143" s="6"/>
      <c r="D143" s="6"/>
    </row>
    <row r="144" spans="1:4" ht="13.2" x14ac:dyDescent="0.25">
      <c r="A144" s="6"/>
      <c r="C144" s="6"/>
      <c r="D144" s="6"/>
    </row>
    <row r="145" spans="1:4" ht="13.2" x14ac:dyDescent="0.25">
      <c r="A145" s="6"/>
      <c r="C145" s="6"/>
      <c r="D145" s="6"/>
    </row>
    <row r="146" spans="1:4" ht="13.2" x14ac:dyDescent="0.25">
      <c r="A146" s="6"/>
      <c r="C146" s="6"/>
      <c r="D146" s="6"/>
    </row>
    <row r="147" spans="1:4" ht="13.2" x14ac:dyDescent="0.25">
      <c r="A147" s="6"/>
      <c r="C147" s="6"/>
      <c r="D147" s="6"/>
    </row>
    <row r="148" spans="1:4" ht="13.2" x14ac:dyDescent="0.25">
      <c r="A148" s="6"/>
      <c r="C148" s="6"/>
      <c r="D148" s="6"/>
    </row>
    <row r="149" spans="1:4" ht="13.2" x14ac:dyDescent="0.25">
      <c r="A149" s="6"/>
      <c r="C149" s="6"/>
      <c r="D149" s="6"/>
    </row>
    <row r="150" spans="1:4" ht="13.2" x14ac:dyDescent="0.25">
      <c r="A150" s="6"/>
      <c r="C150" s="6"/>
      <c r="D150" s="6"/>
    </row>
    <row r="151" spans="1:4" ht="13.2" x14ac:dyDescent="0.25">
      <c r="A151" s="6"/>
      <c r="C151" s="6"/>
      <c r="D151" s="6"/>
    </row>
    <row r="152" spans="1:4" ht="13.2" x14ac:dyDescent="0.25">
      <c r="A152" s="6"/>
      <c r="C152" s="6"/>
      <c r="D152" s="6"/>
    </row>
    <row r="153" spans="1:4" ht="13.2" x14ac:dyDescent="0.25">
      <c r="A153" s="6"/>
      <c r="C153" s="6"/>
      <c r="D153" s="6"/>
    </row>
    <row r="154" spans="1:4" ht="13.2" x14ac:dyDescent="0.25">
      <c r="A154" s="6"/>
      <c r="C154" s="6"/>
      <c r="D154" s="6"/>
    </row>
    <row r="155" spans="1:4" ht="13.2" x14ac:dyDescent="0.25">
      <c r="A155" s="6"/>
      <c r="C155" s="6"/>
      <c r="D155" s="6"/>
    </row>
    <row r="156" spans="1:4" ht="13.2" x14ac:dyDescent="0.25">
      <c r="A156" s="6"/>
      <c r="C156" s="6"/>
      <c r="D156" s="6"/>
    </row>
    <row r="157" spans="1:4" ht="13.2" x14ac:dyDescent="0.25">
      <c r="A157" s="6"/>
      <c r="C157" s="6"/>
      <c r="D157" s="6"/>
    </row>
    <row r="158" spans="1:4" ht="13.2" x14ac:dyDescent="0.25">
      <c r="A158" s="6"/>
      <c r="C158" s="6"/>
      <c r="D158" s="6"/>
    </row>
    <row r="159" spans="1:4" ht="13.2" x14ac:dyDescent="0.25">
      <c r="A159" s="6"/>
      <c r="C159" s="6"/>
      <c r="D159" s="6"/>
    </row>
    <row r="160" spans="1:4" ht="13.2" x14ac:dyDescent="0.25">
      <c r="A160" s="6"/>
      <c r="C160" s="6"/>
      <c r="D160" s="6"/>
    </row>
    <row r="161" spans="1:4" ht="13.2" x14ac:dyDescent="0.25">
      <c r="A161" s="6"/>
      <c r="C161" s="6"/>
      <c r="D161" s="6"/>
    </row>
    <row r="162" spans="1:4" ht="13.2" x14ac:dyDescent="0.25">
      <c r="A162" s="6"/>
      <c r="C162" s="6"/>
      <c r="D162" s="6"/>
    </row>
    <row r="163" spans="1:4" ht="13.2" x14ac:dyDescent="0.25">
      <c r="A163" s="6"/>
      <c r="C163" s="6"/>
      <c r="D163" s="6"/>
    </row>
    <row r="164" spans="1:4" ht="13.2" x14ac:dyDescent="0.25">
      <c r="A164" s="6"/>
      <c r="C164" s="6"/>
      <c r="D164" s="6"/>
    </row>
    <row r="165" spans="1:4" ht="13.2" x14ac:dyDescent="0.25">
      <c r="A165" s="6"/>
      <c r="C165" s="6"/>
      <c r="D165" s="6"/>
    </row>
    <row r="166" spans="1:4" ht="13.2" x14ac:dyDescent="0.25">
      <c r="A166" s="6"/>
      <c r="C166" s="6"/>
      <c r="D166" s="6"/>
    </row>
    <row r="167" spans="1:4" ht="13.2" x14ac:dyDescent="0.25">
      <c r="A167" s="6"/>
      <c r="C167" s="6"/>
      <c r="D167" s="6"/>
    </row>
    <row r="168" spans="1:4" ht="13.2" x14ac:dyDescent="0.25">
      <c r="A168" s="6"/>
      <c r="C168" s="6"/>
      <c r="D168" s="6"/>
    </row>
    <row r="169" spans="1:4" ht="13.2" x14ac:dyDescent="0.25">
      <c r="A169" s="6"/>
      <c r="C169" s="6"/>
      <c r="D169" s="6"/>
    </row>
    <row r="170" spans="1:4" ht="13.2" x14ac:dyDescent="0.25">
      <c r="A170" s="6"/>
      <c r="C170" s="6"/>
      <c r="D170" s="6"/>
    </row>
    <row r="171" spans="1:4" ht="13.2" x14ac:dyDescent="0.25">
      <c r="A171" s="6"/>
      <c r="C171" s="6"/>
      <c r="D171" s="6"/>
    </row>
    <row r="172" spans="1:4" ht="13.2" x14ac:dyDescent="0.25">
      <c r="A172" s="6"/>
      <c r="C172" s="6"/>
      <c r="D172" s="6"/>
    </row>
    <row r="173" spans="1:4" ht="13.2" x14ac:dyDescent="0.25">
      <c r="A173" s="6"/>
      <c r="C173" s="6"/>
      <c r="D173" s="6"/>
    </row>
    <row r="174" spans="1:4" ht="13.2" x14ac:dyDescent="0.25">
      <c r="A174" s="6"/>
      <c r="C174" s="6"/>
      <c r="D174" s="6"/>
    </row>
    <row r="175" spans="1:4" ht="13.2" x14ac:dyDescent="0.25">
      <c r="A175" s="6"/>
      <c r="C175" s="6"/>
      <c r="D175" s="6"/>
    </row>
    <row r="176" spans="1:4" ht="13.2" x14ac:dyDescent="0.25">
      <c r="A176" s="6"/>
      <c r="C176" s="6"/>
      <c r="D176" s="6"/>
    </row>
    <row r="177" spans="1:4" ht="13.2" x14ac:dyDescent="0.25">
      <c r="A177" s="6"/>
      <c r="C177" s="6"/>
      <c r="D177" s="6"/>
    </row>
    <row r="178" spans="1:4" ht="13.2" x14ac:dyDescent="0.25">
      <c r="A178" s="6"/>
      <c r="C178" s="6"/>
      <c r="D178" s="6"/>
    </row>
    <row r="179" spans="1:4" ht="13.2" x14ac:dyDescent="0.25">
      <c r="A179" s="6"/>
      <c r="C179" s="6"/>
      <c r="D179" s="6"/>
    </row>
    <row r="180" spans="1:4" ht="13.2" x14ac:dyDescent="0.25">
      <c r="A180" s="6"/>
      <c r="C180" s="6"/>
      <c r="D180" s="6"/>
    </row>
    <row r="181" spans="1:4" ht="13.2" x14ac:dyDescent="0.25">
      <c r="A181" s="6"/>
      <c r="C181" s="6"/>
      <c r="D181" s="6"/>
    </row>
    <row r="182" spans="1:4" ht="13.2" x14ac:dyDescent="0.25">
      <c r="A182" s="6"/>
      <c r="C182" s="6"/>
      <c r="D182" s="6"/>
    </row>
    <row r="183" spans="1:4" ht="13.2" x14ac:dyDescent="0.25">
      <c r="A183" s="6"/>
      <c r="C183" s="6"/>
      <c r="D183" s="6"/>
    </row>
    <row r="184" spans="1:4" ht="13.2" x14ac:dyDescent="0.25">
      <c r="A184" s="6"/>
      <c r="C184" s="6"/>
      <c r="D184" s="6"/>
    </row>
    <row r="185" spans="1:4" ht="13.2" x14ac:dyDescent="0.25">
      <c r="A185" s="6"/>
      <c r="C185" s="6"/>
      <c r="D185" s="6"/>
    </row>
    <row r="186" spans="1:4" ht="13.2" x14ac:dyDescent="0.25">
      <c r="A186" s="6"/>
      <c r="C186" s="6"/>
      <c r="D186" s="6"/>
    </row>
    <row r="187" spans="1:4" ht="13.2" x14ac:dyDescent="0.25">
      <c r="A187" s="6"/>
      <c r="C187" s="6"/>
      <c r="D187" s="6"/>
    </row>
    <row r="188" spans="1:4" ht="13.2" x14ac:dyDescent="0.25">
      <c r="A188" s="6"/>
      <c r="C188" s="6"/>
      <c r="D188" s="6"/>
    </row>
    <row r="189" spans="1:4" ht="13.2" x14ac:dyDescent="0.25">
      <c r="A189" s="6"/>
      <c r="C189" s="6"/>
      <c r="D189" s="6"/>
    </row>
    <row r="190" spans="1:4" ht="13.2" x14ac:dyDescent="0.25">
      <c r="A190" s="6"/>
      <c r="C190" s="6"/>
      <c r="D190" s="6"/>
    </row>
    <row r="191" spans="1:4" ht="13.2" x14ac:dyDescent="0.25">
      <c r="A191" s="6"/>
      <c r="C191" s="6"/>
      <c r="D191" s="6"/>
    </row>
    <row r="192" spans="1:4" ht="13.2" x14ac:dyDescent="0.25">
      <c r="A192" s="6"/>
      <c r="C192" s="6"/>
      <c r="D192" s="6"/>
    </row>
    <row r="193" spans="1:4" ht="13.2" x14ac:dyDescent="0.25">
      <c r="A193" s="6"/>
      <c r="C193" s="6"/>
      <c r="D193" s="6"/>
    </row>
    <row r="194" spans="1:4" ht="13.2" x14ac:dyDescent="0.25">
      <c r="A194" s="6"/>
      <c r="C194" s="6"/>
      <c r="D194" s="6"/>
    </row>
    <row r="195" spans="1:4" ht="13.2" x14ac:dyDescent="0.25">
      <c r="A195" s="6"/>
      <c r="C195" s="6"/>
      <c r="D195" s="6"/>
    </row>
    <row r="196" spans="1:4" ht="13.2" x14ac:dyDescent="0.25">
      <c r="A196" s="6"/>
      <c r="C196" s="6"/>
      <c r="D196" s="6"/>
    </row>
    <row r="197" spans="1:4" ht="13.2" x14ac:dyDescent="0.25">
      <c r="A197" s="6"/>
      <c r="C197" s="6"/>
      <c r="D197" s="6"/>
    </row>
    <row r="198" spans="1:4" ht="13.2" x14ac:dyDescent="0.25">
      <c r="A198" s="6"/>
      <c r="C198" s="6"/>
      <c r="D198" s="6"/>
    </row>
    <row r="199" spans="1:4" ht="13.2" x14ac:dyDescent="0.25">
      <c r="A199" s="6"/>
      <c r="C199" s="6"/>
      <c r="D199" s="6"/>
    </row>
    <row r="200" spans="1:4" ht="13.2" x14ac:dyDescent="0.25">
      <c r="A200" s="6"/>
      <c r="C200" s="6"/>
      <c r="D200" s="6"/>
    </row>
    <row r="201" spans="1:4" ht="13.2" x14ac:dyDescent="0.25">
      <c r="A201" s="6"/>
      <c r="C201" s="6"/>
      <c r="D201" s="6"/>
    </row>
    <row r="202" spans="1:4" ht="13.2" x14ac:dyDescent="0.25">
      <c r="A202" s="6"/>
      <c r="C202" s="6"/>
      <c r="D202" s="6"/>
    </row>
    <row r="203" spans="1:4" ht="13.2" x14ac:dyDescent="0.25">
      <c r="A203" s="6"/>
      <c r="C203" s="6"/>
      <c r="D203" s="6"/>
    </row>
    <row r="204" spans="1:4" ht="13.2" x14ac:dyDescent="0.25">
      <c r="A204" s="6"/>
      <c r="C204" s="6"/>
      <c r="D204" s="6"/>
    </row>
    <row r="205" spans="1:4" ht="13.2" x14ac:dyDescent="0.25">
      <c r="A205" s="6"/>
      <c r="C205" s="6"/>
      <c r="D205" s="6"/>
    </row>
    <row r="206" spans="1:4" ht="13.2" x14ac:dyDescent="0.25">
      <c r="A206" s="6"/>
      <c r="C206" s="6"/>
      <c r="D206" s="6"/>
    </row>
    <row r="207" spans="1:4" ht="13.2" x14ac:dyDescent="0.25">
      <c r="A207" s="6"/>
      <c r="C207" s="6"/>
      <c r="D207" s="6"/>
    </row>
    <row r="208" spans="1:4" ht="13.2" x14ac:dyDescent="0.25">
      <c r="A208" s="6"/>
      <c r="C208" s="6"/>
      <c r="D208" s="6"/>
    </row>
    <row r="209" spans="1:4" ht="13.2" x14ac:dyDescent="0.25">
      <c r="A209" s="6"/>
      <c r="C209" s="6"/>
      <c r="D209" s="6"/>
    </row>
    <row r="210" spans="1:4" ht="13.2" x14ac:dyDescent="0.25">
      <c r="A210" s="6"/>
      <c r="C210" s="6"/>
      <c r="D210" s="6"/>
    </row>
    <row r="211" spans="1:4" ht="13.2" x14ac:dyDescent="0.25">
      <c r="A211" s="6"/>
      <c r="C211" s="6"/>
      <c r="D211" s="6"/>
    </row>
    <row r="212" spans="1:4" ht="13.2" x14ac:dyDescent="0.25">
      <c r="A212" s="6"/>
      <c r="C212" s="6"/>
      <c r="D212" s="6"/>
    </row>
    <row r="213" spans="1:4" ht="13.2" x14ac:dyDescent="0.25">
      <c r="A213" s="6"/>
      <c r="C213" s="6"/>
      <c r="D213" s="6"/>
    </row>
    <row r="214" spans="1:4" ht="13.2" x14ac:dyDescent="0.25">
      <c r="A214" s="6"/>
      <c r="C214" s="6"/>
      <c r="D214" s="6"/>
    </row>
    <row r="215" spans="1:4" ht="13.2" x14ac:dyDescent="0.25">
      <c r="A215" s="6"/>
      <c r="C215" s="6"/>
      <c r="D215" s="6"/>
    </row>
    <row r="216" spans="1:4" ht="13.2" x14ac:dyDescent="0.25">
      <c r="A216" s="6"/>
      <c r="C216" s="6"/>
      <c r="D216" s="6"/>
    </row>
    <row r="217" spans="1:4" ht="13.2" x14ac:dyDescent="0.25">
      <c r="A217" s="6"/>
      <c r="C217" s="6"/>
      <c r="D217" s="6"/>
    </row>
    <row r="218" spans="1:4" ht="13.2" x14ac:dyDescent="0.25">
      <c r="A218" s="6"/>
      <c r="C218" s="6"/>
      <c r="D218" s="6"/>
    </row>
    <row r="219" spans="1:4" ht="13.2" x14ac:dyDescent="0.25">
      <c r="A219" s="6"/>
      <c r="C219" s="6"/>
      <c r="D219" s="6"/>
    </row>
    <row r="220" spans="1:4" ht="13.2" x14ac:dyDescent="0.25">
      <c r="A220" s="6"/>
      <c r="C220" s="6"/>
      <c r="D220" s="6"/>
    </row>
    <row r="221" spans="1:4" ht="13.2" x14ac:dyDescent="0.25">
      <c r="A221" s="6"/>
      <c r="C221" s="6"/>
      <c r="D221" s="6"/>
    </row>
    <row r="222" spans="1:4" ht="13.2" x14ac:dyDescent="0.25">
      <c r="A222" s="6"/>
      <c r="C222" s="6"/>
      <c r="D222" s="6"/>
    </row>
    <row r="223" spans="1:4" ht="13.2" x14ac:dyDescent="0.25">
      <c r="A223" s="6"/>
      <c r="C223" s="6"/>
      <c r="D223" s="6"/>
    </row>
    <row r="224" spans="1:4" ht="13.2" x14ac:dyDescent="0.25">
      <c r="A224" s="6"/>
      <c r="C224" s="6"/>
      <c r="D224" s="6"/>
    </row>
    <row r="225" spans="1:4" ht="13.2" x14ac:dyDescent="0.25">
      <c r="A225" s="6"/>
      <c r="C225" s="6"/>
      <c r="D225" s="6"/>
    </row>
    <row r="226" spans="1:4" ht="13.2" x14ac:dyDescent="0.25">
      <c r="A226" s="6"/>
      <c r="C226" s="6"/>
      <c r="D226" s="6"/>
    </row>
    <row r="227" spans="1:4" ht="13.2" x14ac:dyDescent="0.25">
      <c r="A227" s="6"/>
      <c r="C227" s="6"/>
      <c r="D227" s="6"/>
    </row>
    <row r="228" spans="1:4" ht="13.2" x14ac:dyDescent="0.25">
      <c r="A228" s="6"/>
      <c r="C228" s="6"/>
      <c r="D228" s="6"/>
    </row>
    <row r="229" spans="1:4" ht="13.2" x14ac:dyDescent="0.25">
      <c r="A229" s="6"/>
      <c r="C229" s="6"/>
      <c r="D229" s="6"/>
    </row>
    <row r="230" spans="1:4" ht="13.2" x14ac:dyDescent="0.25">
      <c r="A230" s="6"/>
      <c r="C230" s="6"/>
      <c r="D230" s="6"/>
    </row>
    <row r="231" spans="1:4" ht="13.2" x14ac:dyDescent="0.25">
      <c r="A231" s="6"/>
      <c r="C231" s="6"/>
      <c r="D231" s="6"/>
    </row>
    <row r="232" spans="1:4" ht="13.2" x14ac:dyDescent="0.25">
      <c r="A232" s="6"/>
      <c r="C232" s="6"/>
      <c r="D232" s="6"/>
    </row>
    <row r="233" spans="1:4" ht="13.2" x14ac:dyDescent="0.25">
      <c r="A233" s="6"/>
      <c r="C233" s="6"/>
      <c r="D233" s="6"/>
    </row>
    <row r="234" spans="1:4" ht="13.2" x14ac:dyDescent="0.25">
      <c r="A234" s="6"/>
      <c r="C234" s="6"/>
      <c r="D234" s="6"/>
    </row>
    <row r="235" spans="1:4" ht="13.2" x14ac:dyDescent="0.25">
      <c r="A235" s="6"/>
      <c r="C235" s="6"/>
      <c r="D235" s="6"/>
    </row>
    <row r="236" spans="1:4" ht="13.2" x14ac:dyDescent="0.25">
      <c r="A236" s="6"/>
      <c r="C236" s="6"/>
      <c r="D236" s="6"/>
    </row>
    <row r="237" spans="1:4" ht="13.2" x14ac:dyDescent="0.25">
      <c r="A237" s="6"/>
      <c r="C237" s="6"/>
      <c r="D237" s="6"/>
    </row>
    <row r="238" spans="1:4" ht="13.2" x14ac:dyDescent="0.25">
      <c r="A238" s="6"/>
      <c r="C238" s="6"/>
      <c r="D238" s="6"/>
    </row>
    <row r="239" spans="1:4" ht="13.2" x14ac:dyDescent="0.25">
      <c r="A239" s="6"/>
      <c r="C239" s="6"/>
      <c r="D239" s="6"/>
    </row>
    <row r="240" spans="1:4" ht="13.2" x14ac:dyDescent="0.25">
      <c r="A240" s="6"/>
      <c r="C240" s="6"/>
      <c r="D240" s="6"/>
    </row>
    <row r="241" spans="1:4" ht="13.2" x14ac:dyDescent="0.25">
      <c r="A241" s="6"/>
      <c r="C241" s="6"/>
      <c r="D241" s="6"/>
    </row>
    <row r="242" spans="1:4" ht="13.2" x14ac:dyDescent="0.25">
      <c r="A242" s="6"/>
      <c r="C242" s="6"/>
      <c r="D242" s="6"/>
    </row>
    <row r="243" spans="1:4" ht="13.2" x14ac:dyDescent="0.25">
      <c r="A243" s="6"/>
      <c r="C243" s="6"/>
      <c r="D243" s="6"/>
    </row>
    <row r="244" spans="1:4" ht="13.2" x14ac:dyDescent="0.25">
      <c r="A244" s="6"/>
      <c r="C244" s="6"/>
      <c r="D244" s="6"/>
    </row>
    <row r="245" spans="1:4" ht="13.2" x14ac:dyDescent="0.25">
      <c r="A245" s="6"/>
      <c r="C245" s="6"/>
      <c r="D245" s="6"/>
    </row>
    <row r="246" spans="1:4" ht="13.2" x14ac:dyDescent="0.25">
      <c r="A246" s="6"/>
      <c r="C246" s="6"/>
      <c r="D246" s="6"/>
    </row>
    <row r="247" spans="1:4" ht="13.2" x14ac:dyDescent="0.25">
      <c r="A247" s="6"/>
      <c r="C247" s="6"/>
      <c r="D247" s="6"/>
    </row>
    <row r="248" spans="1:4" ht="13.2" x14ac:dyDescent="0.25">
      <c r="A248" s="6"/>
      <c r="C248" s="6"/>
      <c r="D248" s="6"/>
    </row>
    <row r="249" spans="1:4" ht="13.2" x14ac:dyDescent="0.25">
      <c r="A249" s="6"/>
      <c r="C249" s="6"/>
      <c r="D249" s="6"/>
    </row>
    <row r="250" spans="1:4" ht="13.2" x14ac:dyDescent="0.25">
      <c r="A250" s="6"/>
      <c r="C250" s="6"/>
      <c r="D250" s="6"/>
    </row>
    <row r="251" spans="1:4" ht="13.2" x14ac:dyDescent="0.25">
      <c r="A251" s="6"/>
      <c r="C251" s="6"/>
      <c r="D251" s="6"/>
    </row>
    <row r="252" spans="1:4" ht="13.2" x14ac:dyDescent="0.25">
      <c r="A252" s="6"/>
      <c r="C252" s="6"/>
      <c r="D252" s="6"/>
    </row>
    <row r="253" spans="1:4" ht="13.2" x14ac:dyDescent="0.25">
      <c r="A253" s="6"/>
      <c r="C253" s="6"/>
      <c r="D253" s="6"/>
    </row>
    <row r="254" spans="1:4" ht="13.2" x14ac:dyDescent="0.25">
      <c r="A254" s="6"/>
      <c r="C254" s="6"/>
      <c r="D254" s="6"/>
    </row>
    <row r="255" spans="1:4" ht="13.2" x14ac:dyDescent="0.25">
      <c r="A255" s="6"/>
      <c r="C255" s="6"/>
      <c r="D255" s="6"/>
    </row>
    <row r="256" spans="1:4" ht="13.2" x14ac:dyDescent="0.25">
      <c r="A256" s="6"/>
      <c r="C256" s="6"/>
      <c r="D256" s="6"/>
    </row>
    <row r="257" spans="1:4" ht="13.2" x14ac:dyDescent="0.25">
      <c r="A257" s="6"/>
      <c r="C257" s="6"/>
      <c r="D257" s="6"/>
    </row>
    <row r="258" spans="1:4" ht="13.2" x14ac:dyDescent="0.25">
      <c r="A258" s="6"/>
      <c r="C258" s="6"/>
      <c r="D258" s="6"/>
    </row>
    <row r="259" spans="1:4" ht="13.2" x14ac:dyDescent="0.25">
      <c r="A259" s="6"/>
      <c r="C259" s="6"/>
      <c r="D259" s="6"/>
    </row>
    <row r="260" spans="1:4" ht="13.2" x14ac:dyDescent="0.25">
      <c r="A260" s="6"/>
      <c r="C260" s="6"/>
      <c r="D260" s="6"/>
    </row>
    <row r="261" spans="1:4" ht="13.2" x14ac:dyDescent="0.25">
      <c r="A261" s="6"/>
      <c r="C261" s="6"/>
      <c r="D261" s="6"/>
    </row>
    <row r="262" spans="1:4" ht="13.2" x14ac:dyDescent="0.25">
      <c r="A262" s="6"/>
      <c r="C262" s="6"/>
      <c r="D262" s="6"/>
    </row>
    <row r="263" spans="1:4" ht="13.2" x14ac:dyDescent="0.25">
      <c r="A263" s="6"/>
      <c r="C263" s="6"/>
      <c r="D263" s="6"/>
    </row>
    <row r="264" spans="1:4" ht="13.2" x14ac:dyDescent="0.25">
      <c r="A264" s="6"/>
      <c r="C264" s="6"/>
      <c r="D264" s="6"/>
    </row>
    <row r="265" spans="1:4" ht="13.2" x14ac:dyDescent="0.25">
      <c r="A265" s="6"/>
      <c r="C265" s="6"/>
      <c r="D265" s="6"/>
    </row>
    <row r="266" spans="1:4" ht="13.2" x14ac:dyDescent="0.25">
      <c r="A266" s="6"/>
      <c r="C266" s="6"/>
      <c r="D266" s="6"/>
    </row>
    <row r="267" spans="1:4" ht="13.2" x14ac:dyDescent="0.25">
      <c r="A267" s="6"/>
      <c r="C267" s="6"/>
      <c r="D267" s="6"/>
    </row>
    <row r="268" spans="1:4" ht="13.2" x14ac:dyDescent="0.25">
      <c r="A268" s="6"/>
      <c r="C268" s="6"/>
      <c r="D268" s="6"/>
    </row>
    <row r="269" spans="1:4" ht="13.2" x14ac:dyDescent="0.25">
      <c r="A269" s="6"/>
      <c r="C269" s="6"/>
      <c r="D269" s="6"/>
    </row>
    <row r="270" spans="1:4" ht="13.2" x14ac:dyDescent="0.25">
      <c r="A270" s="6"/>
      <c r="C270" s="6"/>
      <c r="D270" s="6"/>
    </row>
    <row r="271" spans="1:4" ht="13.2" x14ac:dyDescent="0.25">
      <c r="A271" s="6"/>
      <c r="C271" s="6"/>
      <c r="D271" s="6"/>
    </row>
    <row r="272" spans="1:4" ht="13.2" x14ac:dyDescent="0.25">
      <c r="A272" s="6"/>
      <c r="C272" s="6"/>
      <c r="D272" s="6"/>
    </row>
    <row r="273" spans="1:4" ht="13.2" x14ac:dyDescent="0.25">
      <c r="A273" s="6"/>
      <c r="C273" s="6"/>
      <c r="D273" s="6"/>
    </row>
    <row r="274" spans="1:4" ht="13.2" x14ac:dyDescent="0.25">
      <c r="A274" s="6"/>
      <c r="C274" s="6"/>
      <c r="D274" s="6"/>
    </row>
    <row r="275" spans="1:4" ht="13.2" x14ac:dyDescent="0.25">
      <c r="A275" s="6"/>
      <c r="C275" s="6"/>
      <c r="D275" s="6"/>
    </row>
    <row r="276" spans="1:4" ht="13.2" x14ac:dyDescent="0.25">
      <c r="A276" s="6"/>
      <c r="C276" s="6"/>
      <c r="D276" s="6"/>
    </row>
    <row r="277" spans="1:4" ht="13.2" x14ac:dyDescent="0.25">
      <c r="A277" s="6"/>
      <c r="C277" s="6"/>
      <c r="D277" s="6"/>
    </row>
    <row r="278" spans="1:4" ht="13.2" x14ac:dyDescent="0.25">
      <c r="A278" s="6"/>
      <c r="C278" s="6"/>
      <c r="D278" s="6"/>
    </row>
    <row r="279" spans="1:4" ht="13.2" x14ac:dyDescent="0.25">
      <c r="A279" s="6"/>
      <c r="C279" s="6"/>
      <c r="D279" s="6"/>
    </row>
    <row r="280" spans="1:4" ht="13.2" x14ac:dyDescent="0.25">
      <c r="A280" s="6"/>
      <c r="C280" s="6"/>
      <c r="D280" s="6"/>
    </row>
    <row r="281" spans="1:4" ht="13.2" x14ac:dyDescent="0.25">
      <c r="A281" s="6"/>
      <c r="C281" s="6"/>
      <c r="D281" s="6"/>
    </row>
    <row r="282" spans="1:4" ht="13.2" x14ac:dyDescent="0.25">
      <c r="A282" s="6"/>
      <c r="C282" s="6"/>
      <c r="D282" s="6"/>
    </row>
    <row r="283" spans="1:4" ht="13.2" x14ac:dyDescent="0.25">
      <c r="A283" s="6"/>
      <c r="C283" s="6"/>
      <c r="D283" s="6"/>
    </row>
    <row r="284" spans="1:4" ht="13.2" x14ac:dyDescent="0.25">
      <c r="A284" s="6"/>
      <c r="C284" s="6"/>
      <c r="D284" s="6"/>
    </row>
    <row r="285" spans="1:4" ht="13.2" x14ac:dyDescent="0.25">
      <c r="A285" s="6"/>
      <c r="C285" s="6"/>
      <c r="D285" s="6"/>
    </row>
    <row r="286" spans="1:4" ht="13.2" x14ac:dyDescent="0.25">
      <c r="A286" s="6"/>
      <c r="C286" s="6"/>
      <c r="D286" s="6"/>
    </row>
    <row r="287" spans="1:4" ht="13.2" x14ac:dyDescent="0.25">
      <c r="A287" s="6"/>
      <c r="C287" s="6"/>
      <c r="D287" s="6"/>
    </row>
    <row r="288" spans="1:4" ht="13.2" x14ac:dyDescent="0.25">
      <c r="A288" s="6"/>
      <c r="C288" s="6"/>
      <c r="D288" s="6"/>
    </row>
    <row r="289" spans="1:4" ht="13.2" x14ac:dyDescent="0.25">
      <c r="A289" s="6"/>
      <c r="C289" s="6"/>
      <c r="D289" s="6"/>
    </row>
    <row r="290" spans="1:4" ht="13.2" x14ac:dyDescent="0.25">
      <c r="A290" s="6"/>
      <c r="C290" s="6"/>
      <c r="D290" s="6"/>
    </row>
    <row r="291" spans="1:4" ht="13.2" x14ac:dyDescent="0.25">
      <c r="A291" s="6"/>
      <c r="C291" s="6"/>
      <c r="D291" s="6"/>
    </row>
    <row r="292" spans="1:4" ht="13.2" x14ac:dyDescent="0.25">
      <c r="A292" s="6"/>
      <c r="C292" s="6"/>
      <c r="D292" s="6"/>
    </row>
    <row r="293" spans="1:4" ht="13.2" x14ac:dyDescent="0.25">
      <c r="A293" s="6"/>
      <c r="C293" s="6"/>
      <c r="D293" s="6"/>
    </row>
    <row r="294" spans="1:4" ht="13.2" x14ac:dyDescent="0.25">
      <c r="A294" s="6"/>
      <c r="C294" s="6"/>
      <c r="D294" s="6"/>
    </row>
    <row r="295" spans="1:4" ht="13.2" x14ac:dyDescent="0.25">
      <c r="A295" s="6"/>
      <c r="C295" s="6"/>
      <c r="D295" s="6"/>
    </row>
    <row r="296" spans="1:4" ht="13.2" x14ac:dyDescent="0.25">
      <c r="A296" s="6"/>
      <c r="C296" s="6"/>
      <c r="D296" s="6"/>
    </row>
    <row r="297" spans="1:4" ht="13.2" x14ac:dyDescent="0.25">
      <c r="A297" s="6"/>
      <c r="C297" s="6"/>
      <c r="D297" s="6"/>
    </row>
    <row r="298" spans="1:4" ht="13.2" x14ac:dyDescent="0.25">
      <c r="A298" s="6"/>
      <c r="C298" s="6"/>
      <c r="D298" s="6"/>
    </row>
    <row r="299" spans="1:4" ht="13.2" x14ac:dyDescent="0.25">
      <c r="A299" s="6"/>
      <c r="C299" s="6"/>
      <c r="D299" s="6"/>
    </row>
    <row r="300" spans="1:4" ht="13.2" x14ac:dyDescent="0.25">
      <c r="A300" s="6"/>
      <c r="C300" s="6"/>
      <c r="D300" s="6"/>
    </row>
    <row r="301" spans="1:4" ht="13.2" x14ac:dyDescent="0.25">
      <c r="A301" s="6"/>
      <c r="C301" s="6"/>
      <c r="D301" s="6"/>
    </row>
    <row r="302" spans="1:4" ht="13.2" x14ac:dyDescent="0.25">
      <c r="A302" s="6"/>
      <c r="C302" s="6"/>
      <c r="D302" s="6"/>
    </row>
    <row r="303" spans="1:4" ht="13.2" x14ac:dyDescent="0.25">
      <c r="A303" s="6"/>
      <c r="C303" s="6"/>
      <c r="D303" s="6"/>
    </row>
    <row r="304" spans="1:4" ht="13.2" x14ac:dyDescent="0.25">
      <c r="A304" s="6"/>
      <c r="C304" s="6"/>
      <c r="D304" s="6"/>
    </row>
    <row r="305" spans="1:4" ht="13.2" x14ac:dyDescent="0.25">
      <c r="A305" s="6"/>
      <c r="C305" s="6"/>
      <c r="D305" s="6"/>
    </row>
    <row r="306" spans="1:4" ht="13.2" x14ac:dyDescent="0.25">
      <c r="A306" s="6"/>
      <c r="C306" s="6"/>
      <c r="D306" s="6"/>
    </row>
    <row r="307" spans="1:4" ht="13.2" x14ac:dyDescent="0.25">
      <c r="A307" s="6"/>
      <c r="C307" s="6"/>
      <c r="D307" s="6"/>
    </row>
    <row r="308" spans="1:4" ht="13.2" x14ac:dyDescent="0.25">
      <c r="A308" s="6"/>
      <c r="C308" s="6"/>
      <c r="D308" s="6"/>
    </row>
    <row r="309" spans="1:4" ht="13.2" x14ac:dyDescent="0.25">
      <c r="A309" s="6"/>
      <c r="C309" s="6"/>
      <c r="D309" s="6"/>
    </row>
    <row r="310" spans="1:4" ht="13.2" x14ac:dyDescent="0.25">
      <c r="A310" s="6"/>
      <c r="C310" s="6"/>
      <c r="D310" s="6"/>
    </row>
    <row r="311" spans="1:4" ht="13.2" x14ac:dyDescent="0.25">
      <c r="A311" s="6"/>
      <c r="C311" s="6"/>
      <c r="D311" s="6"/>
    </row>
    <row r="312" spans="1:4" ht="13.2" x14ac:dyDescent="0.25">
      <c r="A312" s="6"/>
      <c r="C312" s="6"/>
      <c r="D312" s="6"/>
    </row>
    <row r="313" spans="1:4" ht="13.2" x14ac:dyDescent="0.25">
      <c r="A313" s="6"/>
      <c r="C313" s="6"/>
      <c r="D313" s="6"/>
    </row>
    <row r="314" spans="1:4" ht="13.2" x14ac:dyDescent="0.25">
      <c r="A314" s="6"/>
      <c r="C314" s="6"/>
      <c r="D314" s="6"/>
    </row>
    <row r="315" spans="1:4" ht="13.2" x14ac:dyDescent="0.25">
      <c r="A315" s="6"/>
      <c r="C315" s="6"/>
      <c r="D315" s="6"/>
    </row>
    <row r="316" spans="1:4" ht="13.2" x14ac:dyDescent="0.25">
      <c r="A316" s="6"/>
      <c r="C316" s="6"/>
      <c r="D316" s="6"/>
    </row>
    <row r="317" spans="1:4" ht="13.2" x14ac:dyDescent="0.25">
      <c r="A317" s="6"/>
      <c r="C317" s="6"/>
      <c r="D317" s="6"/>
    </row>
    <row r="318" spans="1:4" ht="13.2" x14ac:dyDescent="0.25">
      <c r="A318" s="6"/>
      <c r="C318" s="6"/>
      <c r="D318" s="6"/>
    </row>
    <row r="319" spans="1:4" ht="13.2" x14ac:dyDescent="0.25">
      <c r="A319" s="6"/>
      <c r="C319" s="6"/>
      <c r="D319" s="6"/>
    </row>
    <row r="320" spans="1:4" ht="13.2" x14ac:dyDescent="0.25">
      <c r="A320" s="6"/>
      <c r="C320" s="6"/>
      <c r="D320" s="6"/>
    </row>
    <row r="321" spans="1:4" ht="13.2" x14ac:dyDescent="0.25">
      <c r="A321" s="6"/>
      <c r="C321" s="6"/>
      <c r="D321" s="6"/>
    </row>
    <row r="322" spans="1:4" ht="13.2" x14ac:dyDescent="0.25">
      <c r="A322" s="6"/>
      <c r="C322" s="6"/>
      <c r="D322" s="6"/>
    </row>
    <row r="323" spans="1:4" ht="13.2" x14ac:dyDescent="0.25">
      <c r="A323" s="6"/>
      <c r="C323" s="6"/>
      <c r="D323" s="6"/>
    </row>
    <row r="324" spans="1:4" ht="13.2" x14ac:dyDescent="0.25">
      <c r="A324" s="6"/>
      <c r="C324" s="6"/>
      <c r="D324" s="6"/>
    </row>
    <row r="325" spans="1:4" ht="13.2" x14ac:dyDescent="0.25">
      <c r="A325" s="6"/>
      <c r="C325" s="6"/>
      <c r="D325" s="6"/>
    </row>
    <row r="326" spans="1:4" ht="13.2" x14ac:dyDescent="0.25">
      <c r="A326" s="6"/>
      <c r="C326" s="6"/>
      <c r="D326" s="6"/>
    </row>
    <row r="327" spans="1:4" ht="13.2" x14ac:dyDescent="0.25">
      <c r="A327" s="6"/>
      <c r="C327" s="6"/>
      <c r="D327" s="6"/>
    </row>
    <row r="328" spans="1:4" ht="13.2" x14ac:dyDescent="0.25">
      <c r="A328" s="6"/>
      <c r="C328" s="6"/>
      <c r="D328" s="6"/>
    </row>
    <row r="329" spans="1:4" ht="13.2" x14ac:dyDescent="0.25">
      <c r="A329" s="6"/>
      <c r="C329" s="6"/>
      <c r="D329" s="6"/>
    </row>
    <row r="330" spans="1:4" ht="13.2" x14ac:dyDescent="0.25">
      <c r="A330" s="6"/>
      <c r="C330" s="6"/>
      <c r="D330" s="6"/>
    </row>
    <row r="331" spans="1:4" ht="13.2" x14ac:dyDescent="0.25">
      <c r="A331" s="6"/>
      <c r="C331" s="6"/>
      <c r="D331" s="6"/>
    </row>
    <row r="332" spans="1:4" ht="13.2" x14ac:dyDescent="0.25">
      <c r="A332" s="6"/>
      <c r="C332" s="6"/>
      <c r="D332" s="6"/>
    </row>
    <row r="333" spans="1:4" ht="13.2" x14ac:dyDescent="0.25">
      <c r="A333" s="6"/>
      <c r="C333" s="6"/>
      <c r="D333" s="6"/>
    </row>
    <row r="334" spans="1:4" ht="13.2" x14ac:dyDescent="0.25">
      <c r="A334" s="6"/>
      <c r="C334" s="6"/>
      <c r="D334" s="6"/>
    </row>
    <row r="335" spans="1:4" ht="13.2" x14ac:dyDescent="0.25">
      <c r="A335" s="6"/>
      <c r="C335" s="6"/>
      <c r="D335" s="6"/>
    </row>
    <row r="336" spans="1:4" ht="13.2" x14ac:dyDescent="0.25">
      <c r="A336" s="6"/>
      <c r="C336" s="6"/>
      <c r="D336" s="6"/>
    </row>
    <row r="337" spans="1:4" ht="13.2" x14ac:dyDescent="0.25">
      <c r="A337" s="6"/>
      <c r="C337" s="6"/>
      <c r="D337" s="6"/>
    </row>
    <row r="338" spans="1:4" ht="13.2" x14ac:dyDescent="0.25">
      <c r="A338" s="6"/>
      <c r="C338" s="6"/>
      <c r="D338" s="6"/>
    </row>
    <row r="339" spans="1:4" ht="13.2" x14ac:dyDescent="0.25">
      <c r="A339" s="6"/>
      <c r="C339" s="6"/>
      <c r="D339" s="6"/>
    </row>
    <row r="340" spans="1:4" ht="13.2" x14ac:dyDescent="0.25">
      <c r="A340" s="6"/>
      <c r="C340" s="6"/>
      <c r="D340" s="6"/>
    </row>
    <row r="341" spans="1:4" ht="13.2" x14ac:dyDescent="0.25">
      <c r="A341" s="6"/>
      <c r="C341" s="6"/>
      <c r="D341" s="6"/>
    </row>
    <row r="342" spans="1:4" ht="13.2" x14ac:dyDescent="0.25">
      <c r="A342" s="6"/>
      <c r="C342" s="6"/>
      <c r="D342" s="6"/>
    </row>
    <row r="343" spans="1:4" ht="13.2" x14ac:dyDescent="0.25">
      <c r="A343" s="6"/>
      <c r="C343" s="6"/>
      <c r="D343" s="6"/>
    </row>
    <row r="344" spans="1:4" ht="13.2" x14ac:dyDescent="0.25">
      <c r="A344" s="6"/>
      <c r="C344" s="6"/>
      <c r="D344" s="6"/>
    </row>
    <row r="345" spans="1:4" ht="13.2" x14ac:dyDescent="0.25">
      <c r="A345" s="6"/>
      <c r="C345" s="6"/>
      <c r="D345" s="6"/>
    </row>
    <row r="346" spans="1:4" ht="13.2" x14ac:dyDescent="0.25">
      <c r="A346" s="6"/>
      <c r="C346" s="6"/>
      <c r="D346" s="6"/>
    </row>
    <row r="347" spans="1:4" ht="13.2" x14ac:dyDescent="0.25">
      <c r="A347" s="6"/>
      <c r="C347" s="6"/>
      <c r="D347" s="6"/>
    </row>
    <row r="348" spans="1:4" ht="13.2" x14ac:dyDescent="0.25">
      <c r="A348" s="6"/>
      <c r="C348" s="6"/>
      <c r="D348" s="6"/>
    </row>
    <row r="349" spans="1:4" ht="13.2" x14ac:dyDescent="0.25">
      <c r="A349" s="6"/>
      <c r="C349" s="6"/>
      <c r="D349" s="6"/>
    </row>
    <row r="350" spans="1:4" ht="13.2" x14ac:dyDescent="0.25">
      <c r="A350" s="6"/>
      <c r="C350" s="6"/>
      <c r="D350" s="6"/>
    </row>
    <row r="351" spans="1:4" ht="13.2" x14ac:dyDescent="0.25">
      <c r="A351" s="6"/>
      <c r="C351" s="6"/>
      <c r="D351" s="6"/>
    </row>
    <row r="352" spans="1:4" ht="13.2" x14ac:dyDescent="0.25">
      <c r="A352" s="6"/>
      <c r="C352" s="6"/>
      <c r="D352" s="6"/>
    </row>
    <row r="353" spans="1:4" ht="13.2" x14ac:dyDescent="0.25">
      <c r="A353" s="6"/>
      <c r="C353" s="6"/>
      <c r="D353" s="6"/>
    </row>
    <row r="354" spans="1:4" ht="13.2" x14ac:dyDescent="0.25">
      <c r="A354" s="6"/>
      <c r="C354" s="6"/>
      <c r="D354" s="6"/>
    </row>
    <row r="355" spans="1:4" ht="13.2" x14ac:dyDescent="0.25">
      <c r="A355" s="6"/>
      <c r="C355" s="6"/>
      <c r="D355" s="6"/>
    </row>
    <row r="356" spans="1:4" ht="13.2" x14ac:dyDescent="0.25">
      <c r="A356" s="6"/>
      <c r="C356" s="6"/>
      <c r="D356" s="6"/>
    </row>
    <row r="357" spans="1:4" ht="13.2" x14ac:dyDescent="0.25">
      <c r="A357" s="6"/>
      <c r="C357" s="6"/>
      <c r="D357" s="6"/>
    </row>
    <row r="358" spans="1:4" ht="13.2" x14ac:dyDescent="0.25">
      <c r="A358" s="6"/>
      <c r="C358" s="6"/>
      <c r="D358" s="6"/>
    </row>
    <row r="359" spans="1:4" ht="13.2" x14ac:dyDescent="0.25">
      <c r="A359" s="6"/>
      <c r="C359" s="6"/>
      <c r="D359" s="6"/>
    </row>
    <row r="360" spans="1:4" ht="13.2" x14ac:dyDescent="0.25">
      <c r="A360" s="6"/>
      <c r="C360" s="6"/>
      <c r="D360" s="6"/>
    </row>
    <row r="361" spans="1:4" ht="13.2" x14ac:dyDescent="0.25">
      <c r="A361" s="6"/>
      <c r="C361" s="6"/>
      <c r="D361" s="6"/>
    </row>
    <row r="362" spans="1:4" ht="13.2" x14ac:dyDescent="0.25">
      <c r="A362" s="6"/>
      <c r="C362" s="6"/>
      <c r="D362" s="6"/>
    </row>
    <row r="363" spans="1:4" ht="13.2" x14ac:dyDescent="0.25">
      <c r="A363" s="6"/>
      <c r="C363" s="6"/>
      <c r="D363" s="6"/>
    </row>
    <row r="364" spans="1:4" ht="13.2" x14ac:dyDescent="0.25">
      <c r="A364" s="6"/>
      <c r="C364" s="6"/>
      <c r="D364" s="6"/>
    </row>
    <row r="365" spans="1:4" ht="13.2" x14ac:dyDescent="0.25">
      <c r="A365" s="6"/>
      <c r="C365" s="6"/>
      <c r="D365" s="6"/>
    </row>
    <row r="366" spans="1:4" ht="13.2" x14ac:dyDescent="0.25">
      <c r="A366" s="6"/>
      <c r="C366" s="6"/>
      <c r="D366" s="6"/>
    </row>
    <row r="367" spans="1:4" ht="13.2" x14ac:dyDescent="0.25">
      <c r="A367" s="6"/>
      <c r="C367" s="6"/>
      <c r="D367" s="6"/>
    </row>
    <row r="368" spans="1:4" ht="13.2" x14ac:dyDescent="0.25">
      <c r="A368" s="6"/>
      <c r="C368" s="6"/>
      <c r="D368" s="6"/>
    </row>
    <row r="369" spans="1:4" ht="13.2" x14ac:dyDescent="0.25">
      <c r="A369" s="6"/>
      <c r="C369" s="6"/>
      <c r="D369" s="6"/>
    </row>
    <row r="370" spans="1:4" ht="13.2" x14ac:dyDescent="0.25">
      <c r="A370" s="6"/>
      <c r="C370" s="6"/>
      <c r="D370" s="6"/>
    </row>
    <row r="371" spans="1:4" ht="13.2" x14ac:dyDescent="0.25">
      <c r="A371" s="6"/>
      <c r="C371" s="6"/>
      <c r="D371" s="6"/>
    </row>
    <row r="372" spans="1:4" ht="13.2" x14ac:dyDescent="0.25">
      <c r="A372" s="6"/>
      <c r="C372" s="6"/>
      <c r="D372" s="6"/>
    </row>
    <row r="373" spans="1:4" ht="13.2" x14ac:dyDescent="0.25">
      <c r="A373" s="6"/>
      <c r="C373" s="6"/>
      <c r="D373" s="6"/>
    </row>
    <row r="374" spans="1:4" ht="13.2" x14ac:dyDescent="0.25">
      <c r="A374" s="6"/>
      <c r="C374" s="6"/>
      <c r="D374" s="6"/>
    </row>
    <row r="375" spans="1:4" ht="13.2" x14ac:dyDescent="0.25">
      <c r="A375" s="6"/>
      <c r="C375" s="6"/>
      <c r="D375" s="6"/>
    </row>
    <row r="376" spans="1:4" ht="13.2" x14ac:dyDescent="0.25">
      <c r="A376" s="6"/>
      <c r="C376" s="6"/>
      <c r="D376" s="6"/>
    </row>
    <row r="377" spans="1:4" ht="13.2" x14ac:dyDescent="0.25">
      <c r="A377" s="6"/>
      <c r="C377" s="6"/>
      <c r="D377" s="6"/>
    </row>
    <row r="378" spans="1:4" ht="13.2" x14ac:dyDescent="0.25">
      <c r="A378" s="6"/>
      <c r="C378" s="6"/>
      <c r="D378" s="6"/>
    </row>
    <row r="379" spans="1:4" ht="13.2" x14ac:dyDescent="0.25">
      <c r="A379" s="6"/>
      <c r="C379" s="6"/>
      <c r="D379" s="6"/>
    </row>
    <row r="380" spans="1:4" ht="13.2" x14ac:dyDescent="0.25">
      <c r="A380" s="6"/>
      <c r="C380" s="6"/>
      <c r="D380" s="6"/>
    </row>
    <row r="381" spans="1:4" ht="13.2" x14ac:dyDescent="0.25">
      <c r="A381" s="6"/>
      <c r="C381" s="6"/>
      <c r="D381" s="6"/>
    </row>
    <row r="382" spans="1:4" ht="13.2" x14ac:dyDescent="0.25">
      <c r="A382" s="6"/>
      <c r="C382" s="6"/>
      <c r="D382" s="6"/>
    </row>
    <row r="383" spans="1:4" ht="13.2" x14ac:dyDescent="0.25">
      <c r="A383" s="6"/>
      <c r="C383" s="6"/>
      <c r="D383" s="6"/>
    </row>
    <row r="384" spans="1:4" ht="13.2" x14ac:dyDescent="0.25">
      <c r="A384" s="6"/>
      <c r="C384" s="6"/>
      <c r="D384" s="6"/>
    </row>
    <row r="385" spans="1:4" ht="13.2" x14ac:dyDescent="0.25">
      <c r="A385" s="6"/>
      <c r="C385" s="6"/>
      <c r="D385" s="6"/>
    </row>
    <row r="386" spans="1:4" ht="13.2" x14ac:dyDescent="0.25">
      <c r="A386" s="6"/>
      <c r="C386" s="6"/>
      <c r="D386" s="6"/>
    </row>
    <row r="387" spans="1:4" ht="13.2" x14ac:dyDescent="0.25">
      <c r="A387" s="6"/>
      <c r="C387" s="6"/>
      <c r="D387" s="6"/>
    </row>
    <row r="388" spans="1:4" ht="13.2" x14ac:dyDescent="0.25">
      <c r="A388" s="6"/>
      <c r="C388" s="6"/>
      <c r="D388" s="6"/>
    </row>
    <row r="389" spans="1:4" ht="13.2" x14ac:dyDescent="0.25">
      <c r="A389" s="6"/>
      <c r="C389" s="6"/>
      <c r="D389" s="6"/>
    </row>
    <row r="390" spans="1:4" ht="13.2" x14ac:dyDescent="0.25">
      <c r="A390" s="6"/>
      <c r="C390" s="6"/>
      <c r="D390" s="6"/>
    </row>
    <row r="391" spans="1:4" ht="13.2" x14ac:dyDescent="0.25">
      <c r="A391" s="6"/>
      <c r="C391" s="6"/>
      <c r="D391" s="6"/>
    </row>
    <row r="392" spans="1:4" ht="13.2" x14ac:dyDescent="0.25">
      <c r="A392" s="6"/>
      <c r="C392" s="6"/>
      <c r="D392" s="6"/>
    </row>
    <row r="393" spans="1:4" ht="13.2" x14ac:dyDescent="0.25">
      <c r="A393" s="6"/>
      <c r="C393" s="6"/>
      <c r="D393" s="6"/>
    </row>
    <row r="394" spans="1:4" ht="13.2" x14ac:dyDescent="0.25">
      <c r="A394" s="6"/>
      <c r="C394" s="6"/>
      <c r="D394" s="6"/>
    </row>
    <row r="395" spans="1:4" ht="13.2" x14ac:dyDescent="0.25">
      <c r="A395" s="6"/>
      <c r="C395" s="6"/>
      <c r="D395" s="6"/>
    </row>
    <row r="396" spans="1:4" ht="13.2" x14ac:dyDescent="0.25">
      <c r="A396" s="6"/>
      <c r="C396" s="6"/>
      <c r="D396" s="6"/>
    </row>
    <row r="397" spans="1:4" ht="13.2" x14ac:dyDescent="0.25">
      <c r="A397" s="6"/>
      <c r="C397" s="6"/>
      <c r="D397" s="6"/>
    </row>
    <row r="398" spans="1:4" ht="13.2" x14ac:dyDescent="0.25">
      <c r="A398" s="6"/>
      <c r="C398" s="6"/>
      <c r="D398" s="6"/>
    </row>
    <row r="399" spans="1:4" ht="13.2" x14ac:dyDescent="0.25">
      <c r="A399" s="6"/>
      <c r="C399" s="6"/>
      <c r="D399" s="6"/>
    </row>
    <row r="400" spans="1:4" ht="13.2" x14ac:dyDescent="0.25">
      <c r="A400" s="6"/>
      <c r="C400" s="6"/>
      <c r="D400" s="6"/>
    </row>
    <row r="401" spans="1:4" ht="13.2" x14ac:dyDescent="0.25">
      <c r="A401" s="6"/>
      <c r="C401" s="6"/>
      <c r="D401" s="6"/>
    </row>
    <row r="402" spans="1:4" ht="13.2" x14ac:dyDescent="0.25">
      <c r="A402" s="6"/>
      <c r="C402" s="6"/>
      <c r="D402" s="6"/>
    </row>
    <row r="403" spans="1:4" ht="13.2" x14ac:dyDescent="0.25">
      <c r="A403" s="6"/>
      <c r="C403" s="6"/>
      <c r="D403" s="6"/>
    </row>
    <row r="404" spans="1:4" ht="13.2" x14ac:dyDescent="0.25">
      <c r="A404" s="6"/>
      <c r="C404" s="6"/>
      <c r="D404" s="6"/>
    </row>
    <row r="405" spans="1:4" ht="13.2" x14ac:dyDescent="0.25">
      <c r="A405" s="6"/>
      <c r="C405" s="6"/>
      <c r="D405" s="6"/>
    </row>
    <row r="406" spans="1:4" ht="13.2" x14ac:dyDescent="0.25">
      <c r="A406" s="6"/>
      <c r="C406" s="6"/>
      <c r="D406" s="6"/>
    </row>
    <row r="407" spans="1:4" ht="13.2" x14ac:dyDescent="0.25">
      <c r="A407" s="6"/>
      <c r="C407" s="6"/>
      <c r="D407" s="6"/>
    </row>
    <row r="408" spans="1:4" ht="13.2" x14ac:dyDescent="0.25">
      <c r="A408" s="6"/>
      <c r="C408" s="6"/>
      <c r="D408" s="6"/>
    </row>
    <row r="409" spans="1:4" ht="13.2" x14ac:dyDescent="0.25">
      <c r="A409" s="6"/>
      <c r="C409" s="6"/>
      <c r="D409" s="6"/>
    </row>
    <row r="410" spans="1:4" ht="13.2" x14ac:dyDescent="0.25">
      <c r="A410" s="6"/>
      <c r="C410" s="6"/>
      <c r="D410" s="6"/>
    </row>
    <row r="411" spans="1:4" ht="13.2" x14ac:dyDescent="0.25">
      <c r="A411" s="6"/>
      <c r="C411" s="6"/>
      <c r="D411" s="6"/>
    </row>
    <row r="412" spans="1:4" ht="13.2" x14ac:dyDescent="0.25">
      <c r="A412" s="6"/>
      <c r="C412" s="6"/>
      <c r="D412" s="6"/>
    </row>
    <row r="413" spans="1:4" ht="13.2" x14ac:dyDescent="0.25">
      <c r="A413" s="6"/>
      <c r="C413" s="6"/>
      <c r="D413" s="6"/>
    </row>
    <row r="414" spans="1:4" ht="13.2" x14ac:dyDescent="0.25">
      <c r="A414" s="6"/>
      <c r="C414" s="6"/>
      <c r="D414" s="6"/>
    </row>
    <row r="415" spans="1:4" ht="13.2" x14ac:dyDescent="0.25">
      <c r="A415" s="6"/>
      <c r="C415" s="6"/>
      <c r="D415" s="6"/>
    </row>
    <row r="416" spans="1:4" ht="13.2" x14ac:dyDescent="0.25">
      <c r="A416" s="6"/>
      <c r="C416" s="6"/>
      <c r="D416" s="6"/>
    </row>
    <row r="417" spans="1:4" ht="13.2" x14ac:dyDescent="0.25">
      <c r="A417" s="6"/>
      <c r="C417" s="6"/>
      <c r="D417" s="6"/>
    </row>
    <row r="418" spans="1:4" ht="13.2" x14ac:dyDescent="0.25">
      <c r="A418" s="6"/>
      <c r="C418" s="6"/>
      <c r="D418" s="6"/>
    </row>
    <row r="419" spans="1:4" ht="13.2" x14ac:dyDescent="0.25">
      <c r="A419" s="6"/>
      <c r="C419" s="6"/>
      <c r="D419" s="6"/>
    </row>
    <row r="420" spans="1:4" ht="13.2" x14ac:dyDescent="0.25">
      <c r="A420" s="6"/>
      <c r="C420" s="6"/>
      <c r="D420" s="6"/>
    </row>
    <row r="421" spans="1:4" ht="13.2" x14ac:dyDescent="0.25">
      <c r="A421" s="6"/>
      <c r="C421" s="6"/>
      <c r="D421" s="6"/>
    </row>
    <row r="422" spans="1:4" ht="13.2" x14ac:dyDescent="0.25">
      <c r="A422" s="6"/>
      <c r="C422" s="6"/>
      <c r="D422" s="6"/>
    </row>
    <row r="423" spans="1:4" ht="13.2" x14ac:dyDescent="0.25">
      <c r="A423" s="6"/>
      <c r="C423" s="6"/>
      <c r="D423" s="6"/>
    </row>
    <row r="424" spans="1:4" ht="13.2" x14ac:dyDescent="0.25">
      <c r="A424" s="6"/>
      <c r="C424" s="6"/>
      <c r="D424" s="6"/>
    </row>
    <row r="425" spans="1:4" ht="13.2" x14ac:dyDescent="0.25">
      <c r="A425" s="6"/>
      <c r="C425" s="6"/>
      <c r="D425" s="6"/>
    </row>
    <row r="426" spans="1:4" ht="13.2" x14ac:dyDescent="0.25">
      <c r="A426" s="6"/>
      <c r="C426" s="6"/>
      <c r="D426" s="6"/>
    </row>
    <row r="427" spans="1:4" ht="13.2" x14ac:dyDescent="0.25">
      <c r="A427" s="6"/>
      <c r="C427" s="6"/>
      <c r="D427" s="6"/>
    </row>
    <row r="428" spans="1:4" ht="13.2" x14ac:dyDescent="0.25">
      <c r="A428" s="6"/>
      <c r="C428" s="6"/>
      <c r="D428" s="6"/>
    </row>
    <row r="429" spans="1:4" ht="13.2" x14ac:dyDescent="0.25">
      <c r="A429" s="6"/>
      <c r="C429" s="6"/>
      <c r="D429" s="6"/>
    </row>
    <row r="430" spans="1:4" ht="13.2" x14ac:dyDescent="0.25">
      <c r="A430" s="6"/>
      <c r="C430" s="6"/>
      <c r="D430" s="6"/>
    </row>
    <row r="431" spans="1:4" ht="13.2" x14ac:dyDescent="0.25">
      <c r="A431" s="6"/>
      <c r="C431" s="6"/>
      <c r="D431" s="6"/>
    </row>
    <row r="432" spans="1:4" ht="13.2" x14ac:dyDescent="0.25">
      <c r="A432" s="6"/>
      <c r="C432" s="6"/>
      <c r="D432" s="6"/>
    </row>
    <row r="433" spans="1:4" ht="13.2" x14ac:dyDescent="0.25">
      <c r="A433" s="6"/>
      <c r="C433" s="6"/>
      <c r="D433" s="6"/>
    </row>
    <row r="434" spans="1:4" ht="13.2" x14ac:dyDescent="0.25">
      <c r="A434" s="6"/>
      <c r="C434" s="6"/>
      <c r="D434" s="6"/>
    </row>
    <row r="435" spans="1:4" ht="13.2" x14ac:dyDescent="0.25">
      <c r="A435" s="6"/>
      <c r="C435" s="6"/>
      <c r="D435" s="6"/>
    </row>
    <row r="436" spans="1:4" ht="13.2" x14ac:dyDescent="0.25">
      <c r="A436" s="6"/>
      <c r="C436" s="6"/>
      <c r="D436" s="6"/>
    </row>
    <row r="437" spans="1:4" ht="13.2" x14ac:dyDescent="0.25">
      <c r="A437" s="6"/>
      <c r="C437" s="6"/>
      <c r="D437" s="6"/>
    </row>
    <row r="438" spans="1:4" ht="13.2" x14ac:dyDescent="0.25">
      <c r="A438" s="6"/>
      <c r="C438" s="6"/>
      <c r="D438" s="6"/>
    </row>
    <row r="439" spans="1:4" ht="13.2" x14ac:dyDescent="0.25">
      <c r="A439" s="6"/>
      <c r="C439" s="6"/>
      <c r="D439" s="6"/>
    </row>
    <row r="440" spans="1:4" ht="13.2" x14ac:dyDescent="0.25">
      <c r="A440" s="6"/>
      <c r="C440" s="6"/>
      <c r="D440" s="6"/>
    </row>
    <row r="441" spans="1:4" ht="13.2" x14ac:dyDescent="0.25">
      <c r="A441" s="6"/>
      <c r="C441" s="6"/>
      <c r="D441" s="6"/>
    </row>
    <row r="442" spans="1:4" ht="13.2" x14ac:dyDescent="0.25">
      <c r="A442" s="6"/>
      <c r="C442" s="6"/>
      <c r="D442" s="6"/>
    </row>
    <row r="443" spans="1:4" ht="13.2" x14ac:dyDescent="0.25">
      <c r="A443" s="6"/>
      <c r="C443" s="6"/>
      <c r="D443" s="6"/>
    </row>
    <row r="444" spans="1:4" ht="13.2" x14ac:dyDescent="0.25">
      <c r="A444" s="6"/>
      <c r="C444" s="6"/>
      <c r="D444" s="6"/>
    </row>
    <row r="445" spans="1:4" ht="13.2" x14ac:dyDescent="0.25">
      <c r="A445" s="6"/>
      <c r="C445" s="6"/>
      <c r="D445" s="6"/>
    </row>
    <row r="446" spans="1:4" ht="13.2" x14ac:dyDescent="0.25">
      <c r="A446" s="6"/>
      <c r="C446" s="6"/>
      <c r="D446" s="6"/>
    </row>
    <row r="447" spans="1:4" ht="13.2" x14ac:dyDescent="0.25">
      <c r="A447" s="6"/>
      <c r="C447" s="6"/>
      <c r="D447" s="6"/>
    </row>
    <row r="448" spans="1:4" ht="13.2" x14ac:dyDescent="0.25">
      <c r="A448" s="6"/>
      <c r="C448" s="6"/>
      <c r="D448" s="6"/>
    </row>
    <row r="449" spans="1:4" ht="13.2" x14ac:dyDescent="0.25">
      <c r="A449" s="6"/>
      <c r="C449" s="6"/>
      <c r="D449" s="6"/>
    </row>
    <row r="450" spans="1:4" ht="13.2" x14ac:dyDescent="0.25">
      <c r="A450" s="6"/>
      <c r="C450" s="6"/>
      <c r="D450" s="6"/>
    </row>
    <row r="451" spans="1:4" ht="13.2" x14ac:dyDescent="0.25">
      <c r="A451" s="6"/>
      <c r="C451" s="6"/>
      <c r="D451" s="6"/>
    </row>
    <row r="452" spans="1:4" ht="13.2" x14ac:dyDescent="0.25">
      <c r="A452" s="6"/>
      <c r="C452" s="6"/>
      <c r="D452" s="6"/>
    </row>
    <row r="453" spans="1:4" ht="13.2" x14ac:dyDescent="0.25">
      <c r="A453" s="6"/>
      <c r="C453" s="6"/>
      <c r="D453" s="6"/>
    </row>
    <row r="454" spans="1:4" ht="13.2" x14ac:dyDescent="0.25">
      <c r="A454" s="6"/>
      <c r="C454" s="6"/>
      <c r="D454" s="6"/>
    </row>
    <row r="455" spans="1:4" ht="13.2" x14ac:dyDescent="0.25">
      <c r="A455" s="6"/>
      <c r="C455" s="6"/>
      <c r="D455" s="6"/>
    </row>
    <row r="456" spans="1:4" ht="13.2" x14ac:dyDescent="0.25">
      <c r="A456" s="6"/>
      <c r="C456" s="6"/>
      <c r="D456" s="6"/>
    </row>
    <row r="457" spans="1:4" ht="13.2" x14ac:dyDescent="0.25">
      <c r="A457" s="6"/>
      <c r="C457" s="6"/>
      <c r="D457" s="6"/>
    </row>
    <row r="458" spans="1:4" ht="13.2" x14ac:dyDescent="0.25">
      <c r="A458" s="6"/>
      <c r="C458" s="6"/>
      <c r="D458" s="6"/>
    </row>
    <row r="459" spans="1:4" ht="13.2" x14ac:dyDescent="0.25">
      <c r="A459" s="6"/>
      <c r="C459" s="6"/>
      <c r="D459" s="6"/>
    </row>
    <row r="460" spans="1:4" ht="13.2" x14ac:dyDescent="0.25">
      <c r="A460" s="6"/>
      <c r="C460" s="6"/>
      <c r="D460" s="6"/>
    </row>
    <row r="461" spans="1:4" ht="13.2" x14ac:dyDescent="0.25">
      <c r="A461" s="6"/>
      <c r="C461" s="6"/>
      <c r="D461" s="6"/>
    </row>
    <row r="462" spans="1:4" ht="13.2" x14ac:dyDescent="0.25">
      <c r="A462" s="6"/>
      <c r="C462" s="6"/>
      <c r="D462" s="6"/>
    </row>
    <row r="463" spans="1:4" ht="13.2" x14ac:dyDescent="0.25">
      <c r="A463" s="6"/>
      <c r="C463" s="6"/>
      <c r="D463" s="6"/>
    </row>
    <row r="464" spans="1:4" ht="13.2" x14ac:dyDescent="0.25">
      <c r="A464" s="6"/>
      <c r="C464" s="6"/>
      <c r="D464" s="6"/>
    </row>
    <row r="465" spans="1:4" ht="13.2" x14ac:dyDescent="0.25">
      <c r="A465" s="6"/>
      <c r="C465" s="6"/>
      <c r="D465" s="6"/>
    </row>
    <row r="466" spans="1:4" ht="13.2" x14ac:dyDescent="0.25">
      <c r="A466" s="6"/>
      <c r="C466" s="6"/>
      <c r="D466" s="6"/>
    </row>
    <row r="467" spans="1:4" ht="13.2" x14ac:dyDescent="0.25">
      <c r="A467" s="6"/>
      <c r="C467" s="6"/>
      <c r="D467" s="6"/>
    </row>
    <row r="468" spans="1:4" ht="13.2" x14ac:dyDescent="0.25">
      <c r="A468" s="6"/>
      <c r="C468" s="6"/>
      <c r="D468" s="6"/>
    </row>
    <row r="469" spans="1:4" ht="13.2" x14ac:dyDescent="0.25">
      <c r="A469" s="6"/>
      <c r="C469" s="6"/>
      <c r="D469" s="6"/>
    </row>
    <row r="470" spans="1:4" ht="13.2" x14ac:dyDescent="0.25">
      <c r="A470" s="6"/>
      <c r="C470" s="6"/>
      <c r="D470" s="6"/>
    </row>
    <row r="471" spans="1:4" ht="13.2" x14ac:dyDescent="0.25">
      <c r="A471" s="6"/>
      <c r="C471" s="6"/>
      <c r="D471" s="6"/>
    </row>
    <row r="472" spans="1:4" ht="13.2" x14ac:dyDescent="0.25">
      <c r="A472" s="6"/>
      <c r="C472" s="6"/>
      <c r="D472" s="6"/>
    </row>
    <row r="473" spans="1:4" ht="13.2" x14ac:dyDescent="0.25">
      <c r="A473" s="6"/>
      <c r="C473" s="6"/>
      <c r="D473" s="6"/>
    </row>
    <row r="474" spans="1:4" ht="13.2" x14ac:dyDescent="0.25">
      <c r="A474" s="6"/>
      <c r="C474" s="6"/>
      <c r="D474" s="6"/>
    </row>
    <row r="475" spans="1:4" ht="13.2" x14ac:dyDescent="0.25">
      <c r="A475" s="6"/>
      <c r="C475" s="6"/>
      <c r="D475" s="6"/>
    </row>
    <row r="476" spans="1:4" ht="13.2" x14ac:dyDescent="0.25">
      <c r="A476" s="6"/>
      <c r="C476" s="6"/>
      <c r="D476" s="6"/>
    </row>
    <row r="477" spans="1:4" ht="13.2" x14ac:dyDescent="0.25">
      <c r="A477" s="6"/>
      <c r="C477" s="6"/>
      <c r="D477" s="6"/>
    </row>
    <row r="478" spans="1:4" ht="13.2" x14ac:dyDescent="0.25">
      <c r="A478" s="6"/>
      <c r="C478" s="6"/>
      <c r="D478" s="6"/>
    </row>
    <row r="479" spans="1:4" ht="13.2" x14ac:dyDescent="0.25">
      <c r="A479" s="6"/>
      <c r="C479" s="6"/>
      <c r="D479" s="6"/>
    </row>
    <row r="480" spans="1:4" ht="13.2" x14ac:dyDescent="0.25">
      <c r="A480" s="6"/>
      <c r="C480" s="6"/>
      <c r="D480" s="6"/>
    </row>
    <row r="481" spans="1:4" ht="13.2" x14ac:dyDescent="0.25">
      <c r="A481" s="6"/>
      <c r="C481" s="6"/>
      <c r="D481" s="6"/>
    </row>
    <row r="482" spans="1:4" ht="13.2" x14ac:dyDescent="0.25">
      <c r="A482" s="6"/>
      <c r="C482" s="6"/>
      <c r="D482" s="6"/>
    </row>
    <row r="483" spans="1:4" ht="13.2" x14ac:dyDescent="0.25">
      <c r="A483" s="6"/>
      <c r="C483" s="6"/>
      <c r="D483" s="6"/>
    </row>
    <row r="484" spans="1:4" ht="13.2" x14ac:dyDescent="0.25">
      <c r="A484" s="6"/>
      <c r="C484" s="6"/>
      <c r="D484" s="6"/>
    </row>
    <row r="485" spans="1:4" ht="13.2" x14ac:dyDescent="0.25">
      <c r="A485" s="6"/>
      <c r="C485" s="6"/>
      <c r="D485" s="6"/>
    </row>
    <row r="486" spans="1:4" ht="13.2" x14ac:dyDescent="0.25">
      <c r="A486" s="6"/>
      <c r="C486" s="6"/>
      <c r="D486" s="6"/>
    </row>
    <row r="487" spans="1:4" ht="13.2" x14ac:dyDescent="0.25">
      <c r="A487" s="6"/>
      <c r="C487" s="6"/>
      <c r="D487" s="6"/>
    </row>
    <row r="488" spans="1:4" ht="13.2" x14ac:dyDescent="0.25">
      <c r="A488" s="6"/>
      <c r="C488" s="6"/>
      <c r="D488" s="6"/>
    </row>
    <row r="489" spans="1:4" ht="13.2" x14ac:dyDescent="0.25">
      <c r="A489" s="6"/>
      <c r="C489" s="6"/>
      <c r="D489" s="6"/>
    </row>
    <row r="490" spans="1:4" ht="13.2" x14ac:dyDescent="0.25">
      <c r="A490" s="6"/>
      <c r="C490" s="6"/>
      <c r="D490" s="6"/>
    </row>
    <row r="491" spans="1:4" ht="13.2" x14ac:dyDescent="0.25">
      <c r="A491" s="6"/>
      <c r="C491" s="6"/>
      <c r="D491" s="6"/>
    </row>
    <row r="492" spans="1:4" ht="13.2" x14ac:dyDescent="0.25">
      <c r="A492" s="6"/>
      <c r="C492" s="6"/>
      <c r="D492" s="6"/>
    </row>
    <row r="493" spans="1:4" ht="13.2" x14ac:dyDescent="0.25">
      <c r="A493" s="6"/>
      <c r="C493" s="6"/>
      <c r="D493" s="6"/>
    </row>
    <row r="494" spans="1:4" ht="13.2" x14ac:dyDescent="0.25">
      <c r="A494" s="6"/>
      <c r="C494" s="6"/>
      <c r="D494" s="6"/>
    </row>
    <row r="495" spans="1:4" ht="13.2" x14ac:dyDescent="0.25">
      <c r="A495" s="6"/>
      <c r="C495" s="6"/>
      <c r="D495" s="6"/>
    </row>
    <row r="496" spans="1:4" ht="13.2" x14ac:dyDescent="0.25">
      <c r="A496" s="6"/>
      <c r="C496" s="6"/>
      <c r="D496" s="6"/>
    </row>
    <row r="497" spans="1:4" ht="13.2" x14ac:dyDescent="0.25">
      <c r="A497" s="6"/>
      <c r="C497" s="6"/>
      <c r="D497" s="6"/>
    </row>
    <row r="498" spans="1:4" ht="13.2" x14ac:dyDescent="0.25">
      <c r="A498" s="6"/>
      <c r="C498" s="6"/>
      <c r="D498" s="6"/>
    </row>
    <row r="499" spans="1:4" ht="13.2" x14ac:dyDescent="0.25">
      <c r="A499" s="6"/>
      <c r="C499" s="6"/>
      <c r="D499" s="6"/>
    </row>
    <row r="500" spans="1:4" ht="13.2" x14ac:dyDescent="0.25">
      <c r="A500" s="6"/>
      <c r="C500" s="6"/>
      <c r="D500" s="6"/>
    </row>
    <row r="501" spans="1:4" ht="13.2" x14ac:dyDescent="0.25">
      <c r="A501" s="6"/>
      <c r="C501" s="6"/>
      <c r="D501" s="6"/>
    </row>
    <row r="502" spans="1:4" ht="13.2" x14ac:dyDescent="0.25">
      <c r="A502" s="6"/>
      <c r="C502" s="6"/>
      <c r="D502" s="6"/>
    </row>
    <row r="503" spans="1:4" ht="13.2" x14ac:dyDescent="0.25">
      <c r="A503" s="6"/>
      <c r="C503" s="6"/>
      <c r="D503" s="6"/>
    </row>
    <row r="504" spans="1:4" ht="13.2" x14ac:dyDescent="0.25">
      <c r="A504" s="6"/>
      <c r="C504" s="6"/>
      <c r="D504" s="6"/>
    </row>
    <row r="505" spans="1:4" ht="13.2" x14ac:dyDescent="0.25">
      <c r="A505" s="6"/>
      <c r="C505" s="6"/>
      <c r="D505" s="6"/>
    </row>
    <row r="506" spans="1:4" ht="13.2" x14ac:dyDescent="0.25">
      <c r="A506" s="6"/>
      <c r="C506" s="6"/>
      <c r="D506" s="6"/>
    </row>
    <row r="507" spans="1:4" ht="13.2" x14ac:dyDescent="0.25">
      <c r="A507" s="6"/>
      <c r="C507" s="6"/>
      <c r="D507" s="6"/>
    </row>
    <row r="508" spans="1:4" ht="13.2" x14ac:dyDescent="0.25">
      <c r="A508" s="6"/>
      <c r="C508" s="6"/>
      <c r="D508" s="6"/>
    </row>
    <row r="509" spans="1:4" ht="13.2" x14ac:dyDescent="0.25">
      <c r="A509" s="6"/>
      <c r="C509" s="6"/>
      <c r="D509" s="6"/>
    </row>
    <row r="510" spans="1:4" ht="13.2" x14ac:dyDescent="0.25">
      <c r="A510" s="6"/>
      <c r="C510" s="6"/>
      <c r="D510" s="6"/>
    </row>
    <row r="511" spans="1:4" ht="13.2" x14ac:dyDescent="0.25">
      <c r="A511" s="6"/>
      <c r="C511" s="6"/>
      <c r="D511" s="6"/>
    </row>
    <row r="512" spans="1:4" ht="13.2" x14ac:dyDescent="0.25">
      <c r="A512" s="6"/>
      <c r="C512" s="6"/>
      <c r="D512" s="6"/>
    </row>
    <row r="513" spans="1:4" ht="13.2" x14ac:dyDescent="0.25">
      <c r="A513" s="6"/>
      <c r="C513" s="6"/>
      <c r="D513" s="6"/>
    </row>
    <row r="514" spans="1:4" ht="13.2" x14ac:dyDescent="0.25">
      <c r="A514" s="6"/>
      <c r="C514" s="6"/>
      <c r="D514" s="6"/>
    </row>
    <row r="515" spans="1:4" ht="13.2" x14ac:dyDescent="0.25">
      <c r="A515" s="6"/>
      <c r="C515" s="6"/>
      <c r="D515" s="6"/>
    </row>
    <row r="516" spans="1:4" ht="13.2" x14ac:dyDescent="0.25">
      <c r="A516" s="6"/>
      <c r="C516" s="6"/>
      <c r="D516" s="6"/>
    </row>
    <row r="517" spans="1:4" ht="13.2" x14ac:dyDescent="0.25">
      <c r="A517" s="6"/>
      <c r="C517" s="6"/>
      <c r="D517" s="6"/>
    </row>
    <row r="518" spans="1:4" ht="13.2" x14ac:dyDescent="0.25">
      <c r="A518" s="6"/>
      <c r="C518" s="6"/>
      <c r="D518" s="6"/>
    </row>
    <row r="519" spans="1:4" ht="13.2" x14ac:dyDescent="0.25">
      <c r="A519" s="6"/>
      <c r="C519" s="6"/>
      <c r="D519" s="6"/>
    </row>
    <row r="520" spans="1:4" ht="13.2" x14ac:dyDescent="0.25">
      <c r="A520" s="6"/>
      <c r="C520" s="6"/>
      <c r="D520" s="6"/>
    </row>
    <row r="521" spans="1:4" ht="13.2" x14ac:dyDescent="0.25">
      <c r="A521" s="6"/>
      <c r="C521" s="6"/>
      <c r="D521" s="6"/>
    </row>
    <row r="522" spans="1:4" ht="13.2" x14ac:dyDescent="0.25">
      <c r="A522" s="6"/>
      <c r="C522" s="6"/>
      <c r="D522" s="6"/>
    </row>
    <row r="523" spans="1:4" ht="13.2" x14ac:dyDescent="0.25">
      <c r="A523" s="6"/>
      <c r="C523" s="6"/>
      <c r="D523" s="6"/>
    </row>
    <row r="524" spans="1:4" ht="13.2" x14ac:dyDescent="0.25">
      <c r="A524" s="6"/>
      <c r="C524" s="6"/>
      <c r="D524" s="6"/>
    </row>
    <row r="525" spans="1:4" ht="13.2" x14ac:dyDescent="0.25">
      <c r="A525" s="6"/>
      <c r="C525" s="6"/>
      <c r="D525" s="6"/>
    </row>
    <row r="526" spans="1:4" ht="13.2" x14ac:dyDescent="0.25">
      <c r="A526" s="6"/>
      <c r="C526" s="6"/>
      <c r="D526" s="6"/>
    </row>
    <row r="527" spans="1:4" ht="13.2" x14ac:dyDescent="0.25">
      <c r="A527" s="6"/>
      <c r="C527" s="6"/>
      <c r="D527" s="6"/>
    </row>
    <row r="528" spans="1:4" ht="13.2" x14ac:dyDescent="0.25">
      <c r="A528" s="6"/>
      <c r="C528" s="6"/>
      <c r="D528" s="6"/>
    </row>
    <row r="529" spans="1:4" ht="13.2" x14ac:dyDescent="0.25">
      <c r="A529" s="6"/>
      <c r="C529" s="6"/>
      <c r="D529" s="6"/>
    </row>
    <row r="530" spans="1:4" ht="13.2" x14ac:dyDescent="0.25">
      <c r="A530" s="6"/>
      <c r="C530" s="6"/>
      <c r="D530" s="6"/>
    </row>
    <row r="531" spans="1:4" ht="13.2" x14ac:dyDescent="0.25">
      <c r="A531" s="6"/>
      <c r="C531" s="6"/>
      <c r="D531" s="6"/>
    </row>
    <row r="532" spans="1:4" ht="13.2" x14ac:dyDescent="0.25">
      <c r="A532" s="6"/>
      <c r="C532" s="6"/>
      <c r="D532" s="6"/>
    </row>
    <row r="533" spans="1:4" ht="13.2" x14ac:dyDescent="0.25">
      <c r="A533" s="6"/>
      <c r="C533" s="6"/>
      <c r="D533" s="6"/>
    </row>
    <row r="534" spans="1:4" ht="13.2" x14ac:dyDescent="0.25">
      <c r="A534" s="6"/>
      <c r="C534" s="6"/>
      <c r="D534" s="6"/>
    </row>
    <row r="535" spans="1:4" ht="13.2" x14ac:dyDescent="0.25">
      <c r="A535" s="6"/>
      <c r="C535" s="6"/>
      <c r="D535" s="6"/>
    </row>
    <row r="536" spans="1:4" ht="13.2" x14ac:dyDescent="0.25">
      <c r="A536" s="6"/>
      <c r="C536" s="6"/>
      <c r="D536" s="6"/>
    </row>
    <row r="537" spans="1:4" ht="13.2" x14ac:dyDescent="0.25">
      <c r="A537" s="6"/>
      <c r="C537" s="6"/>
      <c r="D537" s="6"/>
    </row>
    <row r="538" spans="1:4" ht="13.2" x14ac:dyDescent="0.25">
      <c r="A538" s="6"/>
      <c r="C538" s="6"/>
      <c r="D538" s="6"/>
    </row>
    <row r="539" spans="1:4" ht="13.2" x14ac:dyDescent="0.25">
      <c r="A539" s="6"/>
      <c r="C539" s="6"/>
      <c r="D539" s="6"/>
    </row>
    <row r="540" spans="1:4" ht="13.2" x14ac:dyDescent="0.25">
      <c r="A540" s="6"/>
      <c r="C540" s="6"/>
      <c r="D540" s="6"/>
    </row>
    <row r="541" spans="1:4" ht="13.2" x14ac:dyDescent="0.25">
      <c r="A541" s="6"/>
      <c r="C541" s="6"/>
      <c r="D541" s="6"/>
    </row>
    <row r="542" spans="1:4" ht="13.2" x14ac:dyDescent="0.25">
      <c r="A542" s="6"/>
      <c r="C542" s="6"/>
      <c r="D542" s="6"/>
    </row>
    <row r="543" spans="1:4" ht="13.2" x14ac:dyDescent="0.25">
      <c r="A543" s="6"/>
      <c r="C543" s="6"/>
      <c r="D543" s="6"/>
    </row>
    <row r="544" spans="1:4" ht="13.2" x14ac:dyDescent="0.25">
      <c r="A544" s="6"/>
      <c r="C544" s="6"/>
      <c r="D544" s="6"/>
    </row>
    <row r="545" spans="1:4" ht="13.2" x14ac:dyDescent="0.25">
      <c r="A545" s="6"/>
      <c r="C545" s="6"/>
      <c r="D545" s="6"/>
    </row>
    <row r="546" spans="1:4" ht="13.2" x14ac:dyDescent="0.25">
      <c r="A546" s="6"/>
      <c r="C546" s="6"/>
      <c r="D546" s="6"/>
    </row>
    <row r="547" spans="1:4" ht="13.2" x14ac:dyDescent="0.25">
      <c r="A547" s="6"/>
      <c r="C547" s="6"/>
      <c r="D547" s="6"/>
    </row>
    <row r="548" spans="1:4" ht="13.2" x14ac:dyDescent="0.25">
      <c r="A548" s="6"/>
      <c r="C548" s="6"/>
      <c r="D548" s="6"/>
    </row>
    <row r="549" spans="1:4" ht="13.2" x14ac:dyDescent="0.25">
      <c r="A549" s="6"/>
      <c r="C549" s="6"/>
      <c r="D549" s="6"/>
    </row>
    <row r="550" spans="1:4" ht="13.2" x14ac:dyDescent="0.25">
      <c r="A550" s="6"/>
      <c r="C550" s="6"/>
      <c r="D550" s="6"/>
    </row>
    <row r="551" spans="1:4" ht="13.2" x14ac:dyDescent="0.25">
      <c r="A551" s="6"/>
      <c r="C551" s="6"/>
      <c r="D551" s="6"/>
    </row>
    <row r="552" spans="1:4" ht="13.2" x14ac:dyDescent="0.25">
      <c r="A552" s="6"/>
      <c r="C552" s="6"/>
      <c r="D552" s="6"/>
    </row>
    <row r="553" spans="1:4" ht="13.2" x14ac:dyDescent="0.25">
      <c r="A553" s="6"/>
      <c r="C553" s="6"/>
      <c r="D553" s="6"/>
    </row>
    <row r="554" spans="1:4" ht="13.2" x14ac:dyDescent="0.25">
      <c r="A554" s="6"/>
      <c r="C554" s="6"/>
      <c r="D554" s="6"/>
    </row>
    <row r="555" spans="1:4" ht="13.2" x14ac:dyDescent="0.25">
      <c r="A555" s="6"/>
      <c r="C555" s="6"/>
      <c r="D555" s="6"/>
    </row>
    <row r="556" spans="1:4" ht="13.2" x14ac:dyDescent="0.25">
      <c r="A556" s="6"/>
      <c r="C556" s="6"/>
      <c r="D556" s="6"/>
    </row>
    <row r="557" spans="1:4" ht="13.2" x14ac:dyDescent="0.25">
      <c r="A557" s="6"/>
      <c r="C557" s="6"/>
      <c r="D557" s="6"/>
    </row>
    <row r="558" spans="1:4" ht="13.2" x14ac:dyDescent="0.25">
      <c r="A558" s="6"/>
      <c r="C558" s="6"/>
      <c r="D558" s="6"/>
    </row>
    <row r="559" spans="1:4" ht="13.2" x14ac:dyDescent="0.25">
      <c r="A559" s="6"/>
      <c r="C559" s="6"/>
      <c r="D559" s="6"/>
    </row>
    <row r="560" spans="1:4" ht="13.2" x14ac:dyDescent="0.25">
      <c r="A560" s="6"/>
      <c r="C560" s="6"/>
      <c r="D560" s="6"/>
    </row>
    <row r="561" spans="1:4" ht="13.2" x14ac:dyDescent="0.25">
      <c r="A561" s="6"/>
      <c r="C561" s="6"/>
      <c r="D561" s="6"/>
    </row>
    <row r="562" spans="1:4" ht="13.2" x14ac:dyDescent="0.25">
      <c r="A562" s="6"/>
      <c r="C562" s="6"/>
      <c r="D562" s="6"/>
    </row>
    <row r="563" spans="1:4" ht="13.2" x14ac:dyDescent="0.25">
      <c r="A563" s="6"/>
      <c r="C563" s="6"/>
      <c r="D563" s="6"/>
    </row>
    <row r="564" spans="1:4" ht="13.2" x14ac:dyDescent="0.25">
      <c r="A564" s="6"/>
      <c r="C564" s="6"/>
      <c r="D564" s="6"/>
    </row>
    <row r="565" spans="1:4" ht="13.2" x14ac:dyDescent="0.25">
      <c r="A565" s="6"/>
      <c r="C565" s="6"/>
      <c r="D565" s="6"/>
    </row>
    <row r="566" spans="1:4" ht="13.2" x14ac:dyDescent="0.25">
      <c r="A566" s="6"/>
      <c r="C566" s="6"/>
      <c r="D566" s="6"/>
    </row>
    <row r="567" spans="1:4" ht="13.2" x14ac:dyDescent="0.25">
      <c r="A567" s="6"/>
      <c r="C567" s="6"/>
      <c r="D567" s="6"/>
    </row>
    <row r="568" spans="1:4" ht="13.2" x14ac:dyDescent="0.25">
      <c r="A568" s="6"/>
      <c r="C568" s="6"/>
      <c r="D568" s="6"/>
    </row>
    <row r="569" spans="1:4" ht="13.2" x14ac:dyDescent="0.25">
      <c r="A569" s="6"/>
      <c r="C569" s="6"/>
      <c r="D569" s="6"/>
    </row>
    <row r="570" spans="1:4" ht="13.2" x14ac:dyDescent="0.25">
      <c r="A570" s="6"/>
      <c r="C570" s="6"/>
      <c r="D570" s="6"/>
    </row>
    <row r="571" spans="1:4" ht="13.2" x14ac:dyDescent="0.25">
      <c r="A571" s="6"/>
      <c r="C571" s="6"/>
      <c r="D571" s="6"/>
    </row>
    <row r="572" spans="1:4" ht="13.2" x14ac:dyDescent="0.25">
      <c r="A572" s="6"/>
      <c r="C572" s="6"/>
      <c r="D572" s="6"/>
    </row>
    <row r="573" spans="1:4" ht="13.2" x14ac:dyDescent="0.25">
      <c r="A573" s="6"/>
      <c r="C573" s="6"/>
      <c r="D573" s="6"/>
    </row>
    <row r="574" spans="1:4" ht="13.2" x14ac:dyDescent="0.25">
      <c r="A574" s="6"/>
      <c r="C574" s="6"/>
      <c r="D574" s="6"/>
    </row>
    <row r="575" spans="1:4" ht="13.2" x14ac:dyDescent="0.25">
      <c r="A575" s="6"/>
      <c r="C575" s="6"/>
      <c r="D575" s="6"/>
    </row>
    <row r="576" spans="1:4" ht="13.2" x14ac:dyDescent="0.25">
      <c r="A576" s="6"/>
      <c r="C576" s="6"/>
      <c r="D576" s="6"/>
    </row>
    <row r="577" spans="1:4" ht="13.2" x14ac:dyDescent="0.25">
      <c r="A577" s="6"/>
      <c r="C577" s="6"/>
      <c r="D577" s="6"/>
    </row>
    <row r="578" spans="1:4" ht="13.2" x14ac:dyDescent="0.25">
      <c r="A578" s="6"/>
      <c r="C578" s="6"/>
      <c r="D578" s="6"/>
    </row>
    <row r="579" spans="1:4" ht="13.2" x14ac:dyDescent="0.25">
      <c r="A579" s="6"/>
      <c r="C579" s="6"/>
      <c r="D579" s="6"/>
    </row>
    <row r="580" spans="1:4" ht="13.2" x14ac:dyDescent="0.25">
      <c r="A580" s="6"/>
      <c r="C580" s="6"/>
      <c r="D580" s="6"/>
    </row>
    <row r="581" spans="1:4" ht="13.2" x14ac:dyDescent="0.25">
      <c r="A581" s="6"/>
      <c r="C581" s="6"/>
      <c r="D581" s="6"/>
    </row>
    <row r="582" spans="1:4" ht="13.2" x14ac:dyDescent="0.25">
      <c r="A582" s="6"/>
      <c r="C582" s="6"/>
      <c r="D582" s="6"/>
    </row>
    <row r="583" spans="1:4" ht="13.2" x14ac:dyDescent="0.25">
      <c r="A583" s="6"/>
      <c r="C583" s="6"/>
      <c r="D583" s="6"/>
    </row>
    <row r="584" spans="1:4" ht="13.2" x14ac:dyDescent="0.25">
      <c r="A584" s="6"/>
      <c r="C584" s="6"/>
      <c r="D584" s="6"/>
    </row>
    <row r="585" spans="1:4" ht="13.2" x14ac:dyDescent="0.25">
      <c r="A585" s="6"/>
      <c r="C585" s="6"/>
      <c r="D585" s="6"/>
    </row>
    <row r="586" spans="1:4" ht="13.2" x14ac:dyDescent="0.25">
      <c r="A586" s="6"/>
      <c r="C586" s="6"/>
      <c r="D586" s="6"/>
    </row>
    <row r="587" spans="1:4" ht="13.2" x14ac:dyDescent="0.25">
      <c r="A587" s="6"/>
      <c r="C587" s="6"/>
      <c r="D587" s="6"/>
    </row>
    <row r="588" spans="1:4" ht="13.2" x14ac:dyDescent="0.25">
      <c r="A588" s="6"/>
      <c r="C588" s="6"/>
      <c r="D588" s="6"/>
    </row>
    <row r="589" spans="1:4" ht="13.2" x14ac:dyDescent="0.25">
      <c r="A589" s="6"/>
      <c r="C589" s="6"/>
      <c r="D589" s="6"/>
    </row>
    <row r="590" spans="1:4" ht="13.2" x14ac:dyDescent="0.25">
      <c r="A590" s="6"/>
      <c r="C590" s="6"/>
      <c r="D590" s="6"/>
    </row>
    <row r="591" spans="1:4" ht="13.2" x14ac:dyDescent="0.25">
      <c r="A591" s="6"/>
      <c r="C591" s="6"/>
      <c r="D591" s="6"/>
    </row>
    <row r="592" spans="1:4" ht="13.2" x14ac:dyDescent="0.25">
      <c r="A592" s="6"/>
      <c r="C592" s="6"/>
      <c r="D592" s="6"/>
    </row>
    <row r="593" spans="1:4" ht="13.2" x14ac:dyDescent="0.25">
      <c r="A593" s="6"/>
      <c r="C593" s="6"/>
      <c r="D593" s="6"/>
    </row>
    <row r="594" spans="1:4" ht="13.2" x14ac:dyDescent="0.25">
      <c r="A594" s="6"/>
      <c r="C594" s="6"/>
      <c r="D594" s="6"/>
    </row>
    <row r="595" spans="1:4" ht="13.2" x14ac:dyDescent="0.25">
      <c r="A595" s="6"/>
      <c r="C595" s="6"/>
      <c r="D595" s="6"/>
    </row>
    <row r="596" spans="1:4" ht="13.2" x14ac:dyDescent="0.25">
      <c r="A596" s="6"/>
      <c r="C596" s="6"/>
      <c r="D596" s="6"/>
    </row>
    <row r="597" spans="1:4" ht="13.2" x14ac:dyDescent="0.25">
      <c r="A597" s="6"/>
      <c r="C597" s="6"/>
      <c r="D597" s="6"/>
    </row>
    <row r="598" spans="1:4" ht="13.2" x14ac:dyDescent="0.25">
      <c r="A598" s="6"/>
      <c r="C598" s="6"/>
      <c r="D598" s="6"/>
    </row>
    <row r="599" spans="1:4" ht="13.2" x14ac:dyDescent="0.25">
      <c r="A599" s="6"/>
      <c r="C599" s="6"/>
      <c r="D599" s="6"/>
    </row>
    <row r="600" spans="1:4" ht="13.2" x14ac:dyDescent="0.25">
      <c r="A600" s="6"/>
      <c r="C600" s="6"/>
      <c r="D600" s="6"/>
    </row>
    <row r="601" spans="1:4" ht="13.2" x14ac:dyDescent="0.25">
      <c r="A601" s="6"/>
      <c r="C601" s="6"/>
      <c r="D601" s="6"/>
    </row>
    <row r="602" spans="1:4" ht="13.2" x14ac:dyDescent="0.25">
      <c r="A602" s="6"/>
      <c r="C602" s="6"/>
      <c r="D602" s="6"/>
    </row>
    <row r="603" spans="1:4" ht="13.2" x14ac:dyDescent="0.25">
      <c r="A603" s="6"/>
      <c r="C603" s="6"/>
      <c r="D603" s="6"/>
    </row>
    <row r="604" spans="1:4" ht="13.2" x14ac:dyDescent="0.25">
      <c r="A604" s="6"/>
      <c r="C604" s="6"/>
      <c r="D604" s="6"/>
    </row>
    <row r="605" spans="1:4" ht="13.2" x14ac:dyDescent="0.25">
      <c r="A605" s="6"/>
      <c r="C605" s="6"/>
      <c r="D605" s="6"/>
    </row>
    <row r="606" spans="1:4" ht="13.2" x14ac:dyDescent="0.25">
      <c r="A606" s="6"/>
      <c r="C606" s="6"/>
      <c r="D606" s="6"/>
    </row>
    <row r="607" spans="1:4" ht="13.2" x14ac:dyDescent="0.25">
      <c r="A607" s="6"/>
      <c r="C607" s="6"/>
      <c r="D607" s="6"/>
    </row>
    <row r="608" spans="1:4" ht="13.2" x14ac:dyDescent="0.25">
      <c r="A608" s="6"/>
      <c r="C608" s="6"/>
      <c r="D608" s="6"/>
    </row>
    <row r="609" spans="1:4" ht="13.2" x14ac:dyDescent="0.25">
      <c r="A609" s="6"/>
      <c r="C609" s="6"/>
      <c r="D609" s="6"/>
    </row>
    <row r="610" spans="1:4" ht="13.2" x14ac:dyDescent="0.25">
      <c r="A610" s="6"/>
      <c r="C610" s="6"/>
      <c r="D610" s="6"/>
    </row>
    <row r="611" spans="1:4" ht="13.2" x14ac:dyDescent="0.25">
      <c r="A611" s="6"/>
      <c r="C611" s="6"/>
      <c r="D611" s="6"/>
    </row>
    <row r="612" spans="1:4" ht="13.2" x14ac:dyDescent="0.25">
      <c r="A612" s="6"/>
      <c r="C612" s="6"/>
      <c r="D612" s="6"/>
    </row>
    <row r="613" spans="1:4" ht="13.2" x14ac:dyDescent="0.25">
      <c r="A613" s="6"/>
      <c r="C613" s="6"/>
      <c r="D613" s="6"/>
    </row>
    <row r="614" spans="1:4" ht="13.2" x14ac:dyDescent="0.25">
      <c r="A614" s="6"/>
      <c r="C614" s="6"/>
      <c r="D614" s="6"/>
    </row>
    <row r="615" spans="1:4" ht="13.2" x14ac:dyDescent="0.25">
      <c r="A615" s="6"/>
      <c r="C615" s="6"/>
      <c r="D615" s="6"/>
    </row>
    <row r="616" spans="1:4" ht="13.2" x14ac:dyDescent="0.25">
      <c r="A616" s="6"/>
      <c r="C616" s="6"/>
      <c r="D616" s="6"/>
    </row>
    <row r="617" spans="1:4" ht="13.2" x14ac:dyDescent="0.25">
      <c r="A617" s="6"/>
      <c r="C617" s="6"/>
      <c r="D617" s="6"/>
    </row>
    <row r="618" spans="1:4" ht="13.2" x14ac:dyDescent="0.25">
      <c r="A618" s="6"/>
      <c r="C618" s="6"/>
      <c r="D618" s="6"/>
    </row>
    <row r="619" spans="1:4" ht="13.2" x14ac:dyDescent="0.25">
      <c r="A619" s="6"/>
      <c r="C619" s="6"/>
      <c r="D619" s="6"/>
    </row>
    <row r="620" spans="1:4" ht="13.2" x14ac:dyDescent="0.25">
      <c r="A620" s="6"/>
      <c r="C620" s="6"/>
      <c r="D620" s="6"/>
    </row>
    <row r="621" spans="1:4" ht="13.2" x14ac:dyDescent="0.25">
      <c r="A621" s="6"/>
      <c r="C621" s="6"/>
      <c r="D621" s="6"/>
    </row>
    <row r="622" spans="1:4" ht="13.2" x14ac:dyDescent="0.25">
      <c r="A622" s="6"/>
      <c r="C622" s="6"/>
      <c r="D622" s="6"/>
    </row>
    <row r="623" spans="1:4" ht="13.2" x14ac:dyDescent="0.25">
      <c r="A623" s="6"/>
      <c r="C623" s="6"/>
      <c r="D623" s="6"/>
    </row>
    <row r="624" spans="1:4" ht="13.2" x14ac:dyDescent="0.25">
      <c r="A624" s="6"/>
      <c r="C624" s="6"/>
      <c r="D624" s="6"/>
    </row>
    <row r="625" spans="1:4" ht="13.2" x14ac:dyDescent="0.25">
      <c r="A625" s="6"/>
      <c r="C625" s="6"/>
      <c r="D625" s="6"/>
    </row>
    <row r="626" spans="1:4" ht="13.2" x14ac:dyDescent="0.25">
      <c r="A626" s="6"/>
      <c r="C626" s="6"/>
      <c r="D626" s="6"/>
    </row>
    <row r="627" spans="1:4" ht="13.2" x14ac:dyDescent="0.25">
      <c r="A627" s="6"/>
      <c r="C627" s="6"/>
      <c r="D627" s="6"/>
    </row>
    <row r="628" spans="1:4" ht="13.2" x14ac:dyDescent="0.25">
      <c r="A628" s="6"/>
      <c r="C628" s="6"/>
      <c r="D628" s="6"/>
    </row>
    <row r="629" spans="1:4" ht="13.2" x14ac:dyDescent="0.25">
      <c r="A629" s="6"/>
      <c r="C629" s="6"/>
      <c r="D629" s="6"/>
    </row>
    <row r="630" spans="1:4" ht="13.2" x14ac:dyDescent="0.25">
      <c r="A630" s="6"/>
      <c r="C630" s="6"/>
      <c r="D630" s="6"/>
    </row>
    <row r="631" spans="1:4" ht="13.2" x14ac:dyDescent="0.25">
      <c r="A631" s="6"/>
      <c r="C631" s="6"/>
      <c r="D631" s="6"/>
    </row>
    <row r="632" spans="1:4" ht="13.2" x14ac:dyDescent="0.25">
      <c r="A632" s="6"/>
      <c r="C632" s="6"/>
      <c r="D632" s="6"/>
    </row>
    <row r="633" spans="1:4" ht="13.2" x14ac:dyDescent="0.25">
      <c r="A633" s="6"/>
      <c r="C633" s="6"/>
      <c r="D633" s="6"/>
    </row>
    <row r="634" spans="1:4" ht="13.2" x14ac:dyDescent="0.25">
      <c r="A634" s="6"/>
      <c r="C634" s="6"/>
      <c r="D634" s="6"/>
    </row>
    <row r="635" spans="1:4" ht="13.2" x14ac:dyDescent="0.25">
      <c r="A635" s="6"/>
      <c r="C635" s="6"/>
      <c r="D635" s="6"/>
    </row>
    <row r="636" spans="1:4" ht="13.2" x14ac:dyDescent="0.25">
      <c r="A636" s="6"/>
      <c r="C636" s="6"/>
      <c r="D636" s="6"/>
    </row>
    <row r="637" spans="1:4" ht="13.2" x14ac:dyDescent="0.25">
      <c r="A637" s="6"/>
      <c r="C637" s="6"/>
      <c r="D637" s="6"/>
    </row>
    <row r="638" spans="1:4" ht="13.2" x14ac:dyDescent="0.25">
      <c r="A638" s="6"/>
      <c r="C638" s="6"/>
      <c r="D638" s="6"/>
    </row>
    <row r="639" spans="1:4" ht="13.2" x14ac:dyDescent="0.25">
      <c r="A639" s="6"/>
      <c r="C639" s="6"/>
      <c r="D639" s="6"/>
    </row>
    <row r="640" spans="1:4" ht="13.2" x14ac:dyDescent="0.25">
      <c r="A640" s="6"/>
      <c r="C640" s="6"/>
      <c r="D640" s="6"/>
    </row>
    <row r="641" spans="1:4" ht="13.2" x14ac:dyDescent="0.25">
      <c r="A641" s="6"/>
      <c r="C641" s="6"/>
      <c r="D641" s="6"/>
    </row>
    <row r="642" spans="1:4" ht="13.2" x14ac:dyDescent="0.25">
      <c r="A642" s="6"/>
      <c r="C642" s="6"/>
      <c r="D642" s="6"/>
    </row>
    <row r="643" spans="1:4" ht="13.2" x14ac:dyDescent="0.25">
      <c r="A643" s="6"/>
      <c r="C643" s="6"/>
      <c r="D643" s="6"/>
    </row>
    <row r="644" spans="1:4" ht="13.2" x14ac:dyDescent="0.25">
      <c r="A644" s="6"/>
      <c r="C644" s="6"/>
      <c r="D644" s="6"/>
    </row>
    <row r="645" spans="1:4" ht="13.2" x14ac:dyDescent="0.25">
      <c r="A645" s="6"/>
      <c r="C645" s="6"/>
      <c r="D645" s="6"/>
    </row>
    <row r="646" spans="1:4" ht="13.2" x14ac:dyDescent="0.25">
      <c r="A646" s="6"/>
      <c r="C646" s="6"/>
      <c r="D646" s="6"/>
    </row>
    <row r="647" spans="1:4" ht="13.2" x14ac:dyDescent="0.25">
      <c r="A647" s="6"/>
      <c r="C647" s="6"/>
      <c r="D647" s="6"/>
    </row>
    <row r="648" spans="1:4" ht="13.2" x14ac:dyDescent="0.25">
      <c r="A648" s="6"/>
      <c r="C648" s="6"/>
      <c r="D648" s="6"/>
    </row>
    <row r="649" spans="1:4" ht="13.2" x14ac:dyDescent="0.25">
      <c r="A649" s="6"/>
      <c r="C649" s="6"/>
      <c r="D649" s="6"/>
    </row>
    <row r="650" spans="1:4" ht="13.2" x14ac:dyDescent="0.25">
      <c r="A650" s="6"/>
      <c r="C650" s="6"/>
      <c r="D650" s="6"/>
    </row>
    <row r="651" spans="1:4" ht="13.2" x14ac:dyDescent="0.25">
      <c r="A651" s="6"/>
      <c r="C651" s="6"/>
      <c r="D651" s="6"/>
    </row>
    <row r="652" spans="1:4" ht="13.2" x14ac:dyDescent="0.25">
      <c r="A652" s="6"/>
      <c r="C652" s="6"/>
      <c r="D652" s="6"/>
    </row>
    <row r="653" spans="1:4" ht="13.2" x14ac:dyDescent="0.25">
      <c r="A653" s="6"/>
      <c r="C653" s="6"/>
      <c r="D653" s="6"/>
    </row>
    <row r="654" spans="1:4" ht="13.2" x14ac:dyDescent="0.25">
      <c r="A654" s="6"/>
      <c r="C654" s="6"/>
      <c r="D654" s="6"/>
    </row>
    <row r="655" spans="1:4" ht="13.2" x14ac:dyDescent="0.25">
      <c r="A655" s="6"/>
      <c r="C655" s="6"/>
      <c r="D655" s="6"/>
    </row>
    <row r="656" spans="1:4" ht="13.2" x14ac:dyDescent="0.25">
      <c r="A656" s="6"/>
      <c r="C656" s="6"/>
      <c r="D656" s="6"/>
    </row>
    <row r="657" spans="1:4" ht="13.2" x14ac:dyDescent="0.25">
      <c r="A657" s="6"/>
      <c r="C657" s="6"/>
      <c r="D657" s="6"/>
    </row>
    <row r="658" spans="1:4" ht="13.2" x14ac:dyDescent="0.25">
      <c r="A658" s="6"/>
      <c r="C658" s="6"/>
      <c r="D658" s="6"/>
    </row>
    <row r="659" spans="1:4" ht="13.2" x14ac:dyDescent="0.25">
      <c r="A659" s="6"/>
      <c r="C659" s="6"/>
      <c r="D659" s="6"/>
    </row>
    <row r="660" spans="1:4" ht="13.2" x14ac:dyDescent="0.25">
      <c r="A660" s="6"/>
      <c r="C660" s="6"/>
      <c r="D660" s="6"/>
    </row>
    <row r="661" spans="1:4" ht="13.2" x14ac:dyDescent="0.25">
      <c r="A661" s="6"/>
      <c r="C661" s="6"/>
      <c r="D661" s="6"/>
    </row>
    <row r="662" spans="1:4" ht="13.2" x14ac:dyDescent="0.25">
      <c r="A662" s="6"/>
      <c r="C662" s="6"/>
      <c r="D662" s="6"/>
    </row>
    <row r="663" spans="1:4" ht="13.2" x14ac:dyDescent="0.25">
      <c r="A663" s="6"/>
      <c r="C663" s="6"/>
      <c r="D663" s="6"/>
    </row>
    <row r="664" spans="1:4" ht="13.2" x14ac:dyDescent="0.25">
      <c r="A664" s="6"/>
      <c r="C664" s="6"/>
      <c r="D664" s="6"/>
    </row>
    <row r="665" spans="1:4" ht="13.2" x14ac:dyDescent="0.25">
      <c r="A665" s="6"/>
      <c r="C665" s="6"/>
      <c r="D665" s="6"/>
    </row>
    <row r="666" spans="1:4" ht="13.2" x14ac:dyDescent="0.25">
      <c r="A666" s="6"/>
      <c r="C666" s="6"/>
      <c r="D666" s="6"/>
    </row>
    <row r="667" spans="1:4" ht="13.2" x14ac:dyDescent="0.25">
      <c r="A667" s="6"/>
      <c r="C667" s="6"/>
      <c r="D667" s="6"/>
    </row>
    <row r="668" spans="1:4" ht="13.2" x14ac:dyDescent="0.25">
      <c r="A668" s="6"/>
      <c r="C668" s="6"/>
      <c r="D668" s="6"/>
    </row>
    <row r="669" spans="1:4" ht="13.2" x14ac:dyDescent="0.25">
      <c r="A669" s="6"/>
      <c r="C669" s="6"/>
      <c r="D669" s="6"/>
    </row>
    <row r="670" spans="1:4" ht="13.2" x14ac:dyDescent="0.25">
      <c r="A670" s="6"/>
      <c r="C670" s="6"/>
      <c r="D670" s="6"/>
    </row>
    <row r="671" spans="1:4" ht="13.2" x14ac:dyDescent="0.25">
      <c r="A671" s="6"/>
      <c r="C671" s="6"/>
      <c r="D671" s="6"/>
    </row>
    <row r="672" spans="1:4" ht="13.2" x14ac:dyDescent="0.25">
      <c r="A672" s="6"/>
      <c r="C672" s="6"/>
      <c r="D672" s="6"/>
    </row>
    <row r="673" spans="1:4" ht="13.2" x14ac:dyDescent="0.25">
      <c r="A673" s="6"/>
      <c r="C673" s="6"/>
      <c r="D673" s="6"/>
    </row>
    <row r="674" spans="1:4" ht="13.2" x14ac:dyDescent="0.25">
      <c r="A674" s="6"/>
      <c r="C674" s="6"/>
      <c r="D674" s="6"/>
    </row>
    <row r="675" spans="1:4" ht="13.2" x14ac:dyDescent="0.25">
      <c r="A675" s="6"/>
      <c r="C675" s="6"/>
      <c r="D675" s="6"/>
    </row>
    <row r="676" spans="1:4" ht="13.2" x14ac:dyDescent="0.25">
      <c r="A676" s="6"/>
      <c r="C676" s="6"/>
      <c r="D676" s="6"/>
    </row>
    <row r="677" spans="1:4" ht="13.2" x14ac:dyDescent="0.25">
      <c r="A677" s="6"/>
      <c r="C677" s="6"/>
      <c r="D677" s="6"/>
    </row>
    <row r="678" spans="1:4" ht="13.2" x14ac:dyDescent="0.25">
      <c r="A678" s="6"/>
      <c r="C678" s="6"/>
      <c r="D678" s="6"/>
    </row>
    <row r="679" spans="1:4" ht="13.2" x14ac:dyDescent="0.25">
      <c r="A679" s="6"/>
      <c r="C679" s="6"/>
      <c r="D679" s="6"/>
    </row>
    <row r="680" spans="1:4" ht="13.2" x14ac:dyDescent="0.25">
      <c r="A680" s="6"/>
      <c r="C680" s="6"/>
      <c r="D680" s="6"/>
    </row>
    <row r="681" spans="1:4" ht="13.2" x14ac:dyDescent="0.25">
      <c r="A681" s="6"/>
      <c r="C681" s="6"/>
      <c r="D681" s="6"/>
    </row>
    <row r="682" spans="1:4" ht="13.2" x14ac:dyDescent="0.25">
      <c r="A682" s="6"/>
      <c r="C682" s="6"/>
      <c r="D682" s="6"/>
    </row>
    <row r="683" spans="1:4" ht="13.2" x14ac:dyDescent="0.25">
      <c r="A683" s="6"/>
      <c r="C683" s="6"/>
      <c r="D683" s="6"/>
    </row>
    <row r="684" spans="1:4" ht="13.2" x14ac:dyDescent="0.25">
      <c r="A684" s="6"/>
      <c r="C684" s="6"/>
      <c r="D684" s="6"/>
    </row>
    <row r="685" spans="1:4" ht="13.2" x14ac:dyDescent="0.25">
      <c r="A685" s="6"/>
      <c r="C685" s="6"/>
      <c r="D685" s="6"/>
    </row>
    <row r="686" spans="1:4" ht="13.2" x14ac:dyDescent="0.25">
      <c r="A686" s="6"/>
      <c r="C686" s="6"/>
      <c r="D686" s="6"/>
    </row>
    <row r="687" spans="1:4" ht="13.2" x14ac:dyDescent="0.25">
      <c r="A687" s="6"/>
      <c r="C687" s="6"/>
      <c r="D687" s="6"/>
    </row>
    <row r="688" spans="1:4" ht="13.2" x14ac:dyDescent="0.25">
      <c r="A688" s="6"/>
      <c r="C688" s="6"/>
      <c r="D688" s="6"/>
    </row>
    <row r="689" spans="1:4" ht="13.2" x14ac:dyDescent="0.25">
      <c r="A689" s="6"/>
      <c r="C689" s="6"/>
      <c r="D689" s="6"/>
    </row>
    <row r="690" spans="1:4" ht="13.2" x14ac:dyDescent="0.25">
      <c r="A690" s="6"/>
      <c r="C690" s="6"/>
      <c r="D690" s="6"/>
    </row>
    <row r="691" spans="1:4" ht="13.2" x14ac:dyDescent="0.25">
      <c r="A691" s="6"/>
      <c r="C691" s="6"/>
      <c r="D691" s="6"/>
    </row>
    <row r="692" spans="1:4" ht="13.2" x14ac:dyDescent="0.25">
      <c r="A692" s="6"/>
      <c r="C692" s="6"/>
      <c r="D692" s="6"/>
    </row>
    <row r="693" spans="1:4" ht="13.2" x14ac:dyDescent="0.25">
      <c r="A693" s="6"/>
      <c r="C693" s="6"/>
      <c r="D693" s="6"/>
    </row>
    <row r="694" spans="1:4" ht="13.2" x14ac:dyDescent="0.25">
      <c r="A694" s="6"/>
      <c r="C694" s="6"/>
      <c r="D694" s="6"/>
    </row>
    <row r="695" spans="1:4" ht="13.2" x14ac:dyDescent="0.25">
      <c r="A695" s="6"/>
      <c r="C695" s="6"/>
      <c r="D695" s="6"/>
    </row>
    <row r="696" spans="1:4" ht="13.2" x14ac:dyDescent="0.25">
      <c r="A696" s="6"/>
      <c r="C696" s="6"/>
      <c r="D696" s="6"/>
    </row>
    <row r="697" spans="1:4" ht="13.2" x14ac:dyDescent="0.25">
      <c r="A697" s="6"/>
      <c r="C697" s="6"/>
      <c r="D697" s="6"/>
    </row>
    <row r="698" spans="1:4" ht="13.2" x14ac:dyDescent="0.25">
      <c r="A698" s="6"/>
      <c r="C698" s="6"/>
      <c r="D698" s="6"/>
    </row>
    <row r="699" spans="1:4" ht="13.2" x14ac:dyDescent="0.25">
      <c r="A699" s="6"/>
      <c r="C699" s="6"/>
      <c r="D699" s="6"/>
    </row>
    <row r="700" spans="1:4" ht="13.2" x14ac:dyDescent="0.25">
      <c r="A700" s="6"/>
      <c r="C700" s="6"/>
      <c r="D700" s="6"/>
    </row>
    <row r="701" spans="1:4" ht="13.2" x14ac:dyDescent="0.25">
      <c r="A701" s="6"/>
      <c r="C701" s="6"/>
      <c r="D701" s="6"/>
    </row>
    <row r="702" spans="1:4" ht="13.2" x14ac:dyDescent="0.25">
      <c r="A702" s="6"/>
      <c r="C702" s="6"/>
      <c r="D702" s="6"/>
    </row>
    <row r="703" spans="1:4" ht="13.2" x14ac:dyDescent="0.25">
      <c r="A703" s="6"/>
      <c r="C703" s="6"/>
      <c r="D703" s="6"/>
    </row>
    <row r="704" spans="1:4" ht="13.2" x14ac:dyDescent="0.25">
      <c r="A704" s="6"/>
      <c r="C704" s="6"/>
      <c r="D704" s="6"/>
    </row>
    <row r="705" spans="1:4" ht="13.2" x14ac:dyDescent="0.25">
      <c r="A705" s="6"/>
      <c r="C705" s="6"/>
      <c r="D705" s="6"/>
    </row>
    <row r="706" spans="1:4" ht="13.2" x14ac:dyDescent="0.25">
      <c r="A706" s="6"/>
      <c r="C706" s="6"/>
      <c r="D706" s="6"/>
    </row>
    <row r="707" spans="1:4" ht="13.2" x14ac:dyDescent="0.25">
      <c r="A707" s="6"/>
      <c r="C707" s="6"/>
      <c r="D707" s="6"/>
    </row>
    <row r="708" spans="1:4" ht="13.2" x14ac:dyDescent="0.25">
      <c r="A708" s="6"/>
      <c r="C708" s="6"/>
      <c r="D708" s="6"/>
    </row>
    <row r="709" spans="1:4" ht="13.2" x14ac:dyDescent="0.25">
      <c r="A709" s="6"/>
      <c r="C709" s="6"/>
      <c r="D709" s="6"/>
    </row>
    <row r="710" spans="1:4" ht="13.2" x14ac:dyDescent="0.25">
      <c r="A710" s="6"/>
      <c r="C710" s="6"/>
      <c r="D710" s="6"/>
    </row>
    <row r="711" spans="1:4" ht="13.2" x14ac:dyDescent="0.25">
      <c r="A711" s="6"/>
      <c r="C711" s="6"/>
      <c r="D711" s="6"/>
    </row>
    <row r="712" spans="1:4" ht="13.2" x14ac:dyDescent="0.25">
      <c r="A712" s="6"/>
      <c r="C712" s="6"/>
      <c r="D712" s="6"/>
    </row>
    <row r="713" spans="1:4" ht="13.2" x14ac:dyDescent="0.25">
      <c r="A713" s="6"/>
      <c r="C713" s="6"/>
      <c r="D713" s="6"/>
    </row>
    <row r="714" spans="1:4" ht="13.2" x14ac:dyDescent="0.25">
      <c r="A714" s="6"/>
      <c r="C714" s="6"/>
      <c r="D714" s="6"/>
    </row>
    <row r="715" spans="1:4" ht="13.2" x14ac:dyDescent="0.25">
      <c r="A715" s="6"/>
      <c r="C715" s="6"/>
      <c r="D715" s="6"/>
    </row>
    <row r="716" spans="1:4" ht="13.2" x14ac:dyDescent="0.25">
      <c r="A716" s="6"/>
      <c r="C716" s="6"/>
      <c r="D716" s="6"/>
    </row>
    <row r="717" spans="1:4" ht="13.2" x14ac:dyDescent="0.25">
      <c r="A717" s="6"/>
      <c r="C717" s="6"/>
      <c r="D717" s="6"/>
    </row>
    <row r="718" spans="1:4" ht="13.2" x14ac:dyDescent="0.25">
      <c r="A718" s="6"/>
      <c r="C718" s="6"/>
      <c r="D718" s="6"/>
    </row>
    <row r="719" spans="1:4" ht="13.2" x14ac:dyDescent="0.25">
      <c r="A719" s="6"/>
      <c r="C719" s="6"/>
      <c r="D719" s="6"/>
    </row>
    <row r="720" spans="1:4" ht="13.2" x14ac:dyDescent="0.25">
      <c r="A720" s="6"/>
      <c r="C720" s="6"/>
      <c r="D720" s="6"/>
    </row>
    <row r="721" spans="1:4" ht="13.2" x14ac:dyDescent="0.25">
      <c r="A721" s="6"/>
      <c r="C721" s="6"/>
      <c r="D721" s="6"/>
    </row>
    <row r="722" spans="1:4" ht="13.2" x14ac:dyDescent="0.25">
      <c r="A722" s="6"/>
      <c r="C722" s="6"/>
      <c r="D722" s="6"/>
    </row>
    <row r="723" spans="1:4" ht="13.2" x14ac:dyDescent="0.25">
      <c r="A723" s="6"/>
      <c r="C723" s="6"/>
      <c r="D723" s="6"/>
    </row>
    <row r="724" spans="1:4" ht="13.2" x14ac:dyDescent="0.25">
      <c r="A724" s="6"/>
      <c r="C724" s="6"/>
      <c r="D724" s="6"/>
    </row>
    <row r="725" spans="1:4" ht="13.2" x14ac:dyDescent="0.25">
      <c r="A725" s="6"/>
      <c r="C725" s="6"/>
      <c r="D725" s="6"/>
    </row>
    <row r="726" spans="1:4" ht="13.2" x14ac:dyDescent="0.25">
      <c r="A726" s="6"/>
      <c r="C726" s="6"/>
      <c r="D726" s="6"/>
    </row>
    <row r="727" spans="1:4" ht="13.2" x14ac:dyDescent="0.25">
      <c r="A727" s="6"/>
      <c r="C727" s="6"/>
      <c r="D727" s="6"/>
    </row>
    <row r="728" spans="1:4" ht="13.2" x14ac:dyDescent="0.25">
      <c r="A728" s="6"/>
      <c r="C728" s="6"/>
      <c r="D728" s="6"/>
    </row>
    <row r="729" spans="1:4" ht="13.2" x14ac:dyDescent="0.25">
      <c r="A729" s="6"/>
      <c r="C729" s="6"/>
      <c r="D729" s="6"/>
    </row>
    <row r="730" spans="1:4" ht="13.2" x14ac:dyDescent="0.25">
      <c r="A730" s="6"/>
      <c r="C730" s="6"/>
      <c r="D730" s="6"/>
    </row>
    <row r="731" spans="1:4" ht="13.2" x14ac:dyDescent="0.25">
      <c r="A731" s="6"/>
      <c r="C731" s="6"/>
      <c r="D731" s="6"/>
    </row>
    <row r="732" spans="1:4" ht="13.2" x14ac:dyDescent="0.25">
      <c r="A732" s="6"/>
      <c r="C732" s="6"/>
      <c r="D732" s="6"/>
    </row>
    <row r="733" spans="1:4" ht="13.2" x14ac:dyDescent="0.25">
      <c r="A733" s="6"/>
      <c r="C733" s="6"/>
      <c r="D733" s="6"/>
    </row>
    <row r="734" spans="1:4" ht="13.2" x14ac:dyDescent="0.25">
      <c r="A734" s="6"/>
      <c r="C734" s="6"/>
      <c r="D734" s="6"/>
    </row>
    <row r="735" spans="1:4" ht="13.2" x14ac:dyDescent="0.25">
      <c r="A735" s="6"/>
      <c r="C735" s="6"/>
      <c r="D735" s="6"/>
    </row>
    <row r="736" spans="1:4" ht="13.2" x14ac:dyDescent="0.25">
      <c r="A736" s="6"/>
      <c r="C736" s="6"/>
      <c r="D736" s="6"/>
    </row>
    <row r="737" spans="1:4" ht="13.2" x14ac:dyDescent="0.25">
      <c r="A737" s="6"/>
      <c r="C737" s="6"/>
      <c r="D737" s="6"/>
    </row>
    <row r="738" spans="1:4" ht="13.2" x14ac:dyDescent="0.25">
      <c r="A738" s="6"/>
      <c r="C738" s="6"/>
      <c r="D738" s="6"/>
    </row>
    <row r="739" spans="1:4" ht="13.2" x14ac:dyDescent="0.25">
      <c r="A739" s="6"/>
      <c r="C739" s="6"/>
      <c r="D739" s="6"/>
    </row>
    <row r="740" spans="1:4" ht="13.2" x14ac:dyDescent="0.25">
      <c r="A740" s="6"/>
      <c r="C740" s="6"/>
      <c r="D740" s="6"/>
    </row>
    <row r="741" spans="1:4" ht="13.2" x14ac:dyDescent="0.25">
      <c r="A741" s="6"/>
      <c r="C741" s="6"/>
      <c r="D741" s="6"/>
    </row>
    <row r="742" spans="1:4" ht="13.2" x14ac:dyDescent="0.25">
      <c r="A742" s="6"/>
      <c r="C742" s="6"/>
      <c r="D742" s="6"/>
    </row>
    <row r="743" spans="1:4" ht="13.2" x14ac:dyDescent="0.25">
      <c r="A743" s="6"/>
      <c r="C743" s="6"/>
      <c r="D743" s="6"/>
    </row>
    <row r="744" spans="1:4" ht="13.2" x14ac:dyDescent="0.25">
      <c r="A744" s="6"/>
      <c r="C744" s="6"/>
      <c r="D744" s="6"/>
    </row>
    <row r="745" spans="1:4" ht="13.2" x14ac:dyDescent="0.25">
      <c r="A745" s="6"/>
      <c r="C745" s="6"/>
      <c r="D745" s="6"/>
    </row>
    <row r="746" spans="1:4" ht="13.2" x14ac:dyDescent="0.25">
      <c r="A746" s="6"/>
      <c r="C746" s="6"/>
      <c r="D746" s="6"/>
    </row>
    <row r="747" spans="1:4" ht="13.2" x14ac:dyDescent="0.25">
      <c r="A747" s="6"/>
      <c r="C747" s="6"/>
      <c r="D747" s="6"/>
    </row>
    <row r="748" spans="1:4" ht="13.2" x14ac:dyDescent="0.25">
      <c r="A748" s="6"/>
      <c r="C748" s="6"/>
      <c r="D748" s="6"/>
    </row>
    <row r="749" spans="1:4" ht="13.2" x14ac:dyDescent="0.25">
      <c r="A749" s="6"/>
      <c r="C749" s="6"/>
      <c r="D749" s="6"/>
    </row>
    <row r="750" spans="1:4" ht="13.2" x14ac:dyDescent="0.25">
      <c r="A750" s="6"/>
      <c r="C750" s="6"/>
      <c r="D750" s="6"/>
    </row>
    <row r="751" spans="1:4" ht="13.2" x14ac:dyDescent="0.25">
      <c r="A751" s="6"/>
      <c r="C751" s="6"/>
      <c r="D751" s="6"/>
    </row>
    <row r="752" spans="1:4" ht="13.2" x14ac:dyDescent="0.25">
      <c r="A752" s="6"/>
      <c r="C752" s="6"/>
      <c r="D752" s="6"/>
    </row>
    <row r="753" spans="1:4" ht="13.2" x14ac:dyDescent="0.25">
      <c r="A753" s="6"/>
      <c r="C753" s="6"/>
      <c r="D753" s="6"/>
    </row>
    <row r="754" spans="1:4" ht="13.2" x14ac:dyDescent="0.25">
      <c r="A754" s="6"/>
      <c r="C754" s="6"/>
      <c r="D754" s="6"/>
    </row>
    <row r="755" spans="1:4" ht="13.2" x14ac:dyDescent="0.25">
      <c r="A755" s="6"/>
      <c r="C755" s="6"/>
      <c r="D755" s="6"/>
    </row>
    <row r="756" spans="1:4" ht="13.2" x14ac:dyDescent="0.25">
      <c r="A756" s="6"/>
      <c r="C756" s="6"/>
      <c r="D756" s="6"/>
    </row>
    <row r="757" spans="1:4" ht="13.2" x14ac:dyDescent="0.25">
      <c r="A757" s="6"/>
      <c r="C757" s="6"/>
      <c r="D757" s="6"/>
    </row>
    <row r="758" spans="1:4" ht="13.2" x14ac:dyDescent="0.25">
      <c r="A758" s="6"/>
      <c r="C758" s="6"/>
      <c r="D758" s="6"/>
    </row>
    <row r="759" spans="1:4" ht="13.2" x14ac:dyDescent="0.25">
      <c r="A759" s="6"/>
      <c r="C759" s="6"/>
      <c r="D759" s="6"/>
    </row>
    <row r="760" spans="1:4" ht="13.2" x14ac:dyDescent="0.25">
      <c r="A760" s="6"/>
      <c r="C760" s="6"/>
      <c r="D760" s="6"/>
    </row>
    <row r="761" spans="1:4" ht="13.2" x14ac:dyDescent="0.25">
      <c r="A761" s="6"/>
      <c r="C761" s="6"/>
      <c r="D761" s="6"/>
    </row>
    <row r="762" spans="1:4" ht="13.2" x14ac:dyDescent="0.25">
      <c r="A762" s="6"/>
      <c r="C762" s="6"/>
      <c r="D762" s="6"/>
    </row>
    <row r="763" spans="1:4" ht="13.2" x14ac:dyDescent="0.25">
      <c r="A763" s="6"/>
      <c r="C763" s="6"/>
      <c r="D763" s="6"/>
    </row>
    <row r="764" spans="1:4" ht="13.2" x14ac:dyDescent="0.25">
      <c r="A764" s="6"/>
      <c r="C764" s="6"/>
      <c r="D764" s="6"/>
    </row>
    <row r="765" spans="1:4" ht="13.2" x14ac:dyDescent="0.25">
      <c r="A765" s="6"/>
      <c r="C765" s="6"/>
      <c r="D765" s="6"/>
    </row>
    <row r="766" spans="1:4" ht="13.2" x14ac:dyDescent="0.25">
      <c r="A766" s="6"/>
      <c r="C766" s="6"/>
      <c r="D766" s="6"/>
    </row>
    <row r="767" spans="1:4" ht="13.2" x14ac:dyDescent="0.25">
      <c r="A767" s="6"/>
      <c r="C767" s="6"/>
      <c r="D767" s="6"/>
    </row>
    <row r="768" spans="1:4" ht="13.2" x14ac:dyDescent="0.25">
      <c r="A768" s="6"/>
      <c r="C768" s="6"/>
      <c r="D768" s="6"/>
    </row>
    <row r="769" spans="1:4" ht="13.2" x14ac:dyDescent="0.25">
      <c r="A769" s="6"/>
      <c r="C769" s="6"/>
      <c r="D769" s="6"/>
    </row>
    <row r="770" spans="1:4" ht="13.2" x14ac:dyDescent="0.25">
      <c r="A770" s="6"/>
      <c r="C770" s="6"/>
      <c r="D770" s="6"/>
    </row>
    <row r="771" spans="1:4" ht="13.2" x14ac:dyDescent="0.25">
      <c r="A771" s="6"/>
      <c r="C771" s="6"/>
      <c r="D771" s="6"/>
    </row>
    <row r="772" spans="1:4" ht="13.2" x14ac:dyDescent="0.25">
      <c r="A772" s="6"/>
      <c r="C772" s="6"/>
      <c r="D772" s="6"/>
    </row>
    <row r="773" spans="1:4" ht="13.2" x14ac:dyDescent="0.25">
      <c r="A773" s="6"/>
      <c r="C773" s="6"/>
      <c r="D773" s="6"/>
    </row>
    <row r="774" spans="1:4" ht="13.2" x14ac:dyDescent="0.25">
      <c r="A774" s="6"/>
      <c r="C774" s="6"/>
      <c r="D774" s="6"/>
    </row>
    <row r="775" spans="1:4" ht="13.2" x14ac:dyDescent="0.25">
      <c r="A775" s="6"/>
      <c r="C775" s="6"/>
      <c r="D775" s="6"/>
    </row>
    <row r="776" spans="1:4" ht="13.2" x14ac:dyDescent="0.25">
      <c r="A776" s="6"/>
      <c r="C776" s="6"/>
      <c r="D776" s="6"/>
    </row>
    <row r="777" spans="1:4" ht="13.2" x14ac:dyDescent="0.25">
      <c r="A777" s="6"/>
      <c r="C777" s="6"/>
      <c r="D777" s="6"/>
    </row>
    <row r="778" spans="1:4" ht="13.2" x14ac:dyDescent="0.25">
      <c r="A778" s="6"/>
      <c r="C778" s="6"/>
      <c r="D778" s="6"/>
    </row>
    <row r="779" spans="1:4" ht="13.2" x14ac:dyDescent="0.25">
      <c r="A779" s="6"/>
      <c r="C779" s="6"/>
      <c r="D779" s="6"/>
    </row>
    <row r="780" spans="1:4" ht="13.2" x14ac:dyDescent="0.25">
      <c r="A780" s="6"/>
      <c r="C780" s="6"/>
      <c r="D780" s="6"/>
    </row>
    <row r="781" spans="1:4" ht="13.2" x14ac:dyDescent="0.25">
      <c r="A781" s="6"/>
      <c r="C781" s="6"/>
      <c r="D781" s="6"/>
    </row>
    <row r="782" spans="1:4" ht="13.2" x14ac:dyDescent="0.25">
      <c r="A782" s="6"/>
      <c r="C782" s="6"/>
      <c r="D782" s="6"/>
    </row>
    <row r="783" spans="1:4" ht="13.2" x14ac:dyDescent="0.25">
      <c r="A783" s="6"/>
      <c r="C783" s="6"/>
      <c r="D783" s="6"/>
    </row>
    <row r="784" spans="1:4" ht="13.2" x14ac:dyDescent="0.25">
      <c r="A784" s="6"/>
      <c r="C784" s="6"/>
      <c r="D784" s="6"/>
    </row>
    <row r="785" spans="1:4" ht="13.2" x14ac:dyDescent="0.25">
      <c r="A785" s="6"/>
      <c r="C785" s="6"/>
      <c r="D785" s="6"/>
    </row>
    <row r="786" spans="1:4" ht="13.2" x14ac:dyDescent="0.25">
      <c r="A786" s="6"/>
      <c r="C786" s="6"/>
      <c r="D786" s="6"/>
    </row>
    <row r="787" spans="1:4" ht="13.2" x14ac:dyDescent="0.25">
      <c r="A787" s="6"/>
      <c r="C787" s="6"/>
      <c r="D787" s="6"/>
    </row>
    <row r="788" spans="1:4" ht="13.2" x14ac:dyDescent="0.25">
      <c r="A788" s="6"/>
      <c r="C788" s="6"/>
      <c r="D788" s="6"/>
    </row>
    <row r="789" spans="1:4" ht="13.2" x14ac:dyDescent="0.25">
      <c r="A789" s="6"/>
      <c r="C789" s="6"/>
      <c r="D789" s="6"/>
    </row>
    <row r="790" spans="1:4" ht="13.2" x14ac:dyDescent="0.25">
      <c r="A790" s="6"/>
      <c r="C790" s="6"/>
      <c r="D790" s="6"/>
    </row>
    <row r="791" spans="1:4" ht="13.2" x14ac:dyDescent="0.25">
      <c r="A791" s="6"/>
      <c r="C791" s="6"/>
      <c r="D791" s="6"/>
    </row>
    <row r="792" spans="1:4" ht="13.2" x14ac:dyDescent="0.25">
      <c r="A792" s="6"/>
      <c r="C792" s="6"/>
      <c r="D792" s="6"/>
    </row>
    <row r="793" spans="1:4" ht="13.2" x14ac:dyDescent="0.25">
      <c r="A793" s="6"/>
      <c r="C793" s="6"/>
      <c r="D793" s="6"/>
    </row>
    <row r="794" spans="1:4" ht="13.2" x14ac:dyDescent="0.25">
      <c r="A794" s="6"/>
      <c r="C794" s="6"/>
      <c r="D794" s="6"/>
    </row>
    <row r="795" spans="1:4" ht="13.2" x14ac:dyDescent="0.25">
      <c r="A795" s="6"/>
      <c r="C795" s="6"/>
      <c r="D795" s="6"/>
    </row>
    <row r="796" spans="1:4" ht="13.2" x14ac:dyDescent="0.25">
      <c r="A796" s="6"/>
      <c r="C796" s="6"/>
      <c r="D796" s="6"/>
    </row>
    <row r="797" spans="1:4" ht="13.2" x14ac:dyDescent="0.25">
      <c r="A797" s="6"/>
      <c r="C797" s="6"/>
      <c r="D797" s="6"/>
    </row>
    <row r="798" spans="1:4" ht="13.2" x14ac:dyDescent="0.25">
      <c r="A798" s="6"/>
      <c r="C798" s="6"/>
      <c r="D798" s="6"/>
    </row>
    <row r="799" spans="1:4" ht="13.2" x14ac:dyDescent="0.25">
      <c r="A799" s="6"/>
      <c r="C799" s="6"/>
      <c r="D799" s="6"/>
    </row>
    <row r="800" spans="1:4" ht="13.2" x14ac:dyDescent="0.25">
      <c r="A800" s="6"/>
      <c r="C800" s="6"/>
      <c r="D800" s="6"/>
    </row>
    <row r="801" spans="1:4" ht="13.2" x14ac:dyDescent="0.25">
      <c r="A801" s="6"/>
      <c r="C801" s="6"/>
      <c r="D801" s="6"/>
    </row>
    <row r="802" spans="1:4" ht="13.2" x14ac:dyDescent="0.25">
      <c r="A802" s="6"/>
      <c r="C802" s="6"/>
      <c r="D802" s="6"/>
    </row>
    <row r="803" spans="1:4" ht="13.2" x14ac:dyDescent="0.25">
      <c r="A803" s="6"/>
      <c r="C803" s="6"/>
      <c r="D803" s="6"/>
    </row>
    <row r="804" spans="1:4" ht="13.2" x14ac:dyDescent="0.25">
      <c r="A804" s="6"/>
      <c r="C804" s="6"/>
      <c r="D804" s="6"/>
    </row>
    <row r="805" spans="1:4" ht="13.2" x14ac:dyDescent="0.25">
      <c r="A805" s="6"/>
      <c r="C805" s="6"/>
      <c r="D805" s="6"/>
    </row>
    <row r="806" spans="1:4" ht="13.2" x14ac:dyDescent="0.25">
      <c r="A806" s="6"/>
      <c r="C806" s="6"/>
      <c r="D806" s="6"/>
    </row>
    <row r="807" spans="1:4" ht="13.2" x14ac:dyDescent="0.25">
      <c r="A807" s="6"/>
      <c r="C807" s="6"/>
      <c r="D807" s="6"/>
    </row>
    <row r="808" spans="1:4" ht="13.2" x14ac:dyDescent="0.25">
      <c r="A808" s="6"/>
      <c r="C808" s="6"/>
      <c r="D808" s="6"/>
    </row>
    <row r="809" spans="1:4" ht="13.2" x14ac:dyDescent="0.25">
      <c r="A809" s="6"/>
      <c r="C809" s="6"/>
      <c r="D809" s="6"/>
    </row>
    <row r="810" spans="1:4" ht="13.2" x14ac:dyDescent="0.25">
      <c r="A810" s="6"/>
      <c r="C810" s="6"/>
      <c r="D810" s="6"/>
    </row>
    <row r="811" spans="1:4" ht="13.2" x14ac:dyDescent="0.25">
      <c r="A811" s="6"/>
      <c r="C811" s="6"/>
      <c r="D811" s="6"/>
    </row>
    <row r="812" spans="1:4" ht="13.2" x14ac:dyDescent="0.25">
      <c r="A812" s="6"/>
      <c r="C812" s="6"/>
      <c r="D812" s="6"/>
    </row>
    <row r="813" spans="1:4" ht="13.2" x14ac:dyDescent="0.25">
      <c r="A813" s="6"/>
      <c r="C813" s="6"/>
      <c r="D813" s="6"/>
    </row>
    <row r="814" spans="1:4" ht="13.2" x14ac:dyDescent="0.25">
      <c r="A814" s="6"/>
      <c r="C814" s="6"/>
      <c r="D814" s="6"/>
    </row>
    <row r="815" spans="1:4" ht="13.2" x14ac:dyDescent="0.25">
      <c r="A815" s="6"/>
      <c r="C815" s="6"/>
      <c r="D815" s="6"/>
    </row>
    <row r="816" spans="1:4" ht="13.2" x14ac:dyDescent="0.25">
      <c r="A816" s="6"/>
      <c r="C816" s="6"/>
      <c r="D816" s="6"/>
    </row>
    <row r="817" spans="1:4" ht="13.2" x14ac:dyDescent="0.25">
      <c r="A817" s="6"/>
      <c r="C817" s="6"/>
      <c r="D817" s="6"/>
    </row>
    <row r="818" spans="1:4" ht="13.2" x14ac:dyDescent="0.25">
      <c r="A818" s="6"/>
      <c r="C818" s="6"/>
      <c r="D818" s="6"/>
    </row>
    <row r="819" spans="1:4" ht="13.2" x14ac:dyDescent="0.25">
      <c r="A819" s="6"/>
      <c r="C819" s="6"/>
      <c r="D819" s="6"/>
    </row>
    <row r="820" spans="1:4" ht="13.2" x14ac:dyDescent="0.25">
      <c r="A820" s="6"/>
      <c r="C820" s="6"/>
      <c r="D820" s="6"/>
    </row>
    <row r="821" spans="1:4" ht="13.2" x14ac:dyDescent="0.25">
      <c r="A821" s="6"/>
      <c r="C821" s="6"/>
      <c r="D821" s="6"/>
    </row>
    <row r="822" spans="1:4" ht="13.2" x14ac:dyDescent="0.25">
      <c r="A822" s="6"/>
      <c r="C822" s="6"/>
      <c r="D822" s="6"/>
    </row>
    <row r="823" spans="1:4" ht="13.2" x14ac:dyDescent="0.25">
      <c r="A823" s="6"/>
      <c r="C823" s="6"/>
      <c r="D823" s="6"/>
    </row>
    <row r="824" spans="1:4" ht="13.2" x14ac:dyDescent="0.25">
      <c r="A824" s="6"/>
      <c r="C824" s="6"/>
      <c r="D824" s="6"/>
    </row>
    <row r="825" spans="1:4" ht="13.2" x14ac:dyDescent="0.25">
      <c r="A825" s="6"/>
      <c r="C825" s="6"/>
      <c r="D825" s="6"/>
    </row>
    <row r="826" spans="1:4" ht="13.2" x14ac:dyDescent="0.25">
      <c r="A826" s="6"/>
      <c r="C826" s="6"/>
      <c r="D826" s="6"/>
    </row>
    <row r="827" spans="1:4" ht="13.2" x14ac:dyDescent="0.25">
      <c r="A827" s="6"/>
      <c r="C827" s="6"/>
      <c r="D827" s="6"/>
    </row>
    <row r="828" spans="1:4" ht="13.2" x14ac:dyDescent="0.25">
      <c r="A828" s="6"/>
      <c r="C828" s="6"/>
      <c r="D828" s="6"/>
    </row>
    <row r="829" spans="1:4" ht="13.2" x14ac:dyDescent="0.25">
      <c r="A829" s="6"/>
      <c r="C829" s="6"/>
      <c r="D829" s="6"/>
    </row>
    <row r="830" spans="1:4" ht="13.2" x14ac:dyDescent="0.25">
      <c r="A830" s="6"/>
      <c r="C830" s="6"/>
      <c r="D830" s="6"/>
    </row>
    <row r="831" spans="1:4" ht="13.2" x14ac:dyDescent="0.25">
      <c r="A831" s="6"/>
      <c r="C831" s="6"/>
      <c r="D831" s="6"/>
    </row>
    <row r="832" spans="1:4" ht="13.2" x14ac:dyDescent="0.25">
      <c r="A832" s="6"/>
      <c r="C832" s="6"/>
      <c r="D832" s="6"/>
    </row>
    <row r="833" spans="1:4" ht="13.2" x14ac:dyDescent="0.25">
      <c r="A833" s="6"/>
      <c r="C833" s="6"/>
      <c r="D833" s="6"/>
    </row>
    <row r="834" spans="1:4" ht="13.2" x14ac:dyDescent="0.25">
      <c r="A834" s="6"/>
      <c r="C834" s="6"/>
      <c r="D834" s="6"/>
    </row>
    <row r="835" spans="1:4" ht="13.2" x14ac:dyDescent="0.25">
      <c r="A835" s="6"/>
      <c r="C835" s="6"/>
      <c r="D835" s="6"/>
    </row>
    <row r="836" spans="1:4" ht="13.2" x14ac:dyDescent="0.25">
      <c r="A836" s="6"/>
      <c r="C836" s="6"/>
      <c r="D836" s="6"/>
    </row>
    <row r="837" spans="1:4" ht="13.2" x14ac:dyDescent="0.25">
      <c r="A837" s="6"/>
      <c r="C837" s="6"/>
      <c r="D837" s="6"/>
    </row>
    <row r="838" spans="1:4" ht="13.2" x14ac:dyDescent="0.25">
      <c r="A838" s="6"/>
      <c r="C838" s="6"/>
      <c r="D838" s="6"/>
    </row>
    <row r="839" spans="1:4" ht="13.2" x14ac:dyDescent="0.25">
      <c r="A839" s="6"/>
      <c r="C839" s="6"/>
      <c r="D839" s="6"/>
    </row>
    <row r="840" spans="1:4" ht="13.2" x14ac:dyDescent="0.25">
      <c r="A840" s="6"/>
      <c r="C840" s="6"/>
      <c r="D840" s="6"/>
    </row>
    <row r="841" spans="1:4" ht="13.2" x14ac:dyDescent="0.25">
      <c r="A841" s="6"/>
      <c r="C841" s="6"/>
      <c r="D841" s="6"/>
    </row>
    <row r="842" spans="1:4" ht="13.2" x14ac:dyDescent="0.25">
      <c r="A842" s="6"/>
      <c r="C842" s="6"/>
      <c r="D842" s="6"/>
    </row>
    <row r="843" spans="1:4" ht="13.2" x14ac:dyDescent="0.25">
      <c r="A843" s="6"/>
      <c r="C843" s="6"/>
      <c r="D843" s="6"/>
    </row>
    <row r="844" spans="1:4" ht="13.2" x14ac:dyDescent="0.25">
      <c r="A844" s="6"/>
      <c r="C844" s="6"/>
      <c r="D844" s="6"/>
    </row>
    <row r="845" spans="1:4" ht="13.2" x14ac:dyDescent="0.25">
      <c r="A845" s="6"/>
      <c r="C845" s="6"/>
      <c r="D845" s="6"/>
    </row>
    <row r="846" spans="1:4" ht="13.2" x14ac:dyDescent="0.25">
      <c r="A846" s="6"/>
      <c r="C846" s="6"/>
      <c r="D846" s="6"/>
    </row>
    <row r="847" spans="1:4" ht="13.2" x14ac:dyDescent="0.25">
      <c r="A847" s="6"/>
      <c r="C847" s="6"/>
      <c r="D847" s="6"/>
    </row>
    <row r="848" spans="1:4" ht="13.2" x14ac:dyDescent="0.25">
      <c r="A848" s="6"/>
      <c r="C848" s="6"/>
      <c r="D848" s="6"/>
    </row>
    <row r="849" spans="1:4" ht="13.2" x14ac:dyDescent="0.25">
      <c r="A849" s="6"/>
      <c r="C849" s="6"/>
      <c r="D849" s="6"/>
    </row>
    <row r="850" spans="1:4" ht="13.2" x14ac:dyDescent="0.25">
      <c r="A850" s="6"/>
      <c r="C850" s="6"/>
      <c r="D850" s="6"/>
    </row>
    <row r="851" spans="1:4" ht="13.2" x14ac:dyDescent="0.25">
      <c r="A851" s="6"/>
      <c r="C851" s="6"/>
      <c r="D851" s="6"/>
    </row>
    <row r="852" spans="1:4" ht="13.2" x14ac:dyDescent="0.25">
      <c r="A852" s="6"/>
      <c r="C852" s="6"/>
      <c r="D852" s="6"/>
    </row>
    <row r="853" spans="1:4" ht="13.2" x14ac:dyDescent="0.25">
      <c r="A853" s="6"/>
      <c r="C853" s="6"/>
      <c r="D853" s="6"/>
    </row>
    <row r="854" spans="1:4" ht="13.2" x14ac:dyDescent="0.25">
      <c r="A854" s="6"/>
      <c r="C854" s="6"/>
      <c r="D854" s="6"/>
    </row>
    <row r="855" spans="1:4" ht="13.2" x14ac:dyDescent="0.25">
      <c r="A855" s="6"/>
      <c r="C855" s="6"/>
      <c r="D855" s="6"/>
    </row>
    <row r="856" spans="1:4" ht="13.2" x14ac:dyDescent="0.25">
      <c r="A856" s="6"/>
      <c r="C856" s="6"/>
      <c r="D856" s="6"/>
    </row>
    <row r="857" spans="1:4" ht="13.2" x14ac:dyDescent="0.25">
      <c r="A857" s="6"/>
      <c r="C857" s="6"/>
      <c r="D857" s="6"/>
    </row>
    <row r="858" spans="1:4" ht="13.2" x14ac:dyDescent="0.25">
      <c r="A858" s="6"/>
      <c r="C858" s="6"/>
      <c r="D858" s="6"/>
    </row>
    <row r="859" spans="1:4" ht="13.2" x14ac:dyDescent="0.25">
      <c r="A859" s="6"/>
      <c r="C859" s="6"/>
      <c r="D859" s="6"/>
    </row>
    <row r="860" spans="1:4" ht="13.2" x14ac:dyDescent="0.25">
      <c r="A860" s="6"/>
      <c r="C860" s="6"/>
      <c r="D860" s="6"/>
    </row>
    <row r="861" spans="1:4" ht="13.2" x14ac:dyDescent="0.25">
      <c r="A861" s="6"/>
      <c r="C861" s="6"/>
      <c r="D861" s="6"/>
    </row>
    <row r="862" spans="1:4" ht="13.2" x14ac:dyDescent="0.25">
      <c r="A862" s="6"/>
      <c r="C862" s="6"/>
      <c r="D862" s="6"/>
    </row>
    <row r="863" spans="1:4" ht="13.2" x14ac:dyDescent="0.25">
      <c r="A863" s="6"/>
      <c r="C863" s="6"/>
      <c r="D863" s="6"/>
    </row>
    <row r="864" spans="1:4" ht="13.2" x14ac:dyDescent="0.25">
      <c r="A864" s="6"/>
      <c r="C864" s="6"/>
      <c r="D864" s="6"/>
    </row>
    <row r="865" spans="1:4" ht="13.2" x14ac:dyDescent="0.25">
      <c r="A865" s="6"/>
      <c r="C865" s="6"/>
      <c r="D865" s="6"/>
    </row>
    <row r="866" spans="1:4" ht="13.2" x14ac:dyDescent="0.25">
      <c r="A866" s="6"/>
      <c r="C866" s="6"/>
      <c r="D866" s="6"/>
    </row>
    <row r="867" spans="1:4" ht="13.2" x14ac:dyDescent="0.25">
      <c r="A867" s="6"/>
      <c r="C867" s="6"/>
      <c r="D867" s="6"/>
    </row>
    <row r="868" spans="1:4" ht="13.2" x14ac:dyDescent="0.25">
      <c r="A868" s="6"/>
      <c r="C868" s="6"/>
      <c r="D868" s="6"/>
    </row>
    <row r="869" spans="1:4" ht="13.2" x14ac:dyDescent="0.25">
      <c r="A869" s="6"/>
      <c r="C869" s="6"/>
      <c r="D869" s="6"/>
    </row>
    <row r="870" spans="1:4" ht="13.2" x14ac:dyDescent="0.25">
      <c r="A870" s="6"/>
      <c r="C870" s="6"/>
      <c r="D870" s="6"/>
    </row>
    <row r="871" spans="1:4" ht="13.2" x14ac:dyDescent="0.25">
      <c r="A871" s="6"/>
      <c r="C871" s="6"/>
      <c r="D871" s="6"/>
    </row>
    <row r="872" spans="1:4" ht="13.2" x14ac:dyDescent="0.25">
      <c r="A872" s="6"/>
      <c r="C872" s="6"/>
      <c r="D872" s="6"/>
    </row>
    <row r="873" spans="1:4" ht="13.2" x14ac:dyDescent="0.25">
      <c r="A873" s="6"/>
      <c r="C873" s="6"/>
      <c r="D873" s="6"/>
    </row>
    <row r="874" spans="1:4" ht="13.2" x14ac:dyDescent="0.25">
      <c r="A874" s="6"/>
      <c r="C874" s="6"/>
      <c r="D874" s="6"/>
    </row>
    <row r="875" spans="1:4" ht="13.2" x14ac:dyDescent="0.25">
      <c r="A875" s="6"/>
      <c r="C875" s="6"/>
      <c r="D875" s="6"/>
    </row>
    <row r="876" spans="1:4" ht="13.2" x14ac:dyDescent="0.25">
      <c r="A876" s="6"/>
      <c r="C876" s="6"/>
      <c r="D876" s="6"/>
    </row>
    <row r="877" spans="1:4" ht="13.2" x14ac:dyDescent="0.25">
      <c r="A877" s="6"/>
      <c r="C877" s="6"/>
      <c r="D877" s="6"/>
    </row>
    <row r="878" spans="1:4" ht="13.2" x14ac:dyDescent="0.25">
      <c r="A878" s="6"/>
      <c r="C878" s="6"/>
      <c r="D878" s="6"/>
    </row>
    <row r="879" spans="1:4" ht="13.2" x14ac:dyDescent="0.25">
      <c r="A879" s="6"/>
      <c r="C879" s="6"/>
      <c r="D879" s="6"/>
    </row>
    <row r="880" spans="1:4" ht="13.2" x14ac:dyDescent="0.25">
      <c r="A880" s="6"/>
      <c r="C880" s="6"/>
      <c r="D880" s="6"/>
    </row>
    <row r="881" spans="1:4" ht="13.2" x14ac:dyDescent="0.25">
      <c r="A881" s="6"/>
      <c r="C881" s="6"/>
      <c r="D881" s="6"/>
    </row>
    <row r="882" spans="1:4" ht="13.2" x14ac:dyDescent="0.25">
      <c r="A882" s="6"/>
      <c r="C882" s="6"/>
      <c r="D882" s="6"/>
    </row>
    <row r="883" spans="1:4" ht="13.2" x14ac:dyDescent="0.25">
      <c r="A883" s="6"/>
      <c r="C883" s="6"/>
      <c r="D883" s="6"/>
    </row>
    <row r="884" spans="1:4" ht="13.2" x14ac:dyDescent="0.25">
      <c r="A884" s="6"/>
      <c r="C884" s="6"/>
      <c r="D884" s="6"/>
    </row>
    <row r="885" spans="1:4" ht="13.2" x14ac:dyDescent="0.25">
      <c r="A885" s="6"/>
      <c r="C885" s="6"/>
      <c r="D885" s="6"/>
    </row>
    <row r="886" spans="1:4" ht="13.2" x14ac:dyDescent="0.25">
      <c r="A886" s="6"/>
      <c r="C886" s="6"/>
      <c r="D886" s="6"/>
    </row>
    <row r="887" spans="1:4" ht="13.2" x14ac:dyDescent="0.25">
      <c r="A887" s="6"/>
      <c r="C887" s="6"/>
      <c r="D887" s="6"/>
    </row>
    <row r="888" spans="1:4" ht="13.2" x14ac:dyDescent="0.25">
      <c r="A888" s="6"/>
      <c r="C888" s="6"/>
      <c r="D888" s="6"/>
    </row>
    <row r="889" spans="1:4" ht="13.2" x14ac:dyDescent="0.25">
      <c r="A889" s="6"/>
      <c r="C889" s="6"/>
      <c r="D889" s="6"/>
    </row>
    <row r="890" spans="1:4" ht="13.2" x14ac:dyDescent="0.25">
      <c r="A890" s="6"/>
      <c r="C890" s="6"/>
      <c r="D890" s="6"/>
    </row>
    <row r="891" spans="1:4" ht="13.2" x14ac:dyDescent="0.25">
      <c r="A891" s="6"/>
      <c r="C891" s="6"/>
      <c r="D891" s="6"/>
    </row>
    <row r="892" spans="1:4" ht="13.2" x14ac:dyDescent="0.25">
      <c r="A892" s="6"/>
      <c r="C892" s="6"/>
      <c r="D892" s="6"/>
    </row>
    <row r="893" spans="1:4" ht="13.2" x14ac:dyDescent="0.25">
      <c r="A893" s="6"/>
      <c r="C893" s="6"/>
      <c r="D893" s="6"/>
    </row>
    <row r="894" spans="1:4" ht="13.2" x14ac:dyDescent="0.25">
      <c r="A894" s="6"/>
      <c r="C894" s="6"/>
      <c r="D894" s="6"/>
    </row>
    <row r="895" spans="1:4" ht="13.2" x14ac:dyDescent="0.25">
      <c r="A895" s="6"/>
      <c r="C895" s="6"/>
      <c r="D895" s="6"/>
    </row>
    <row r="896" spans="1:4" ht="13.2" x14ac:dyDescent="0.25">
      <c r="A896" s="6"/>
      <c r="C896" s="6"/>
      <c r="D896" s="6"/>
    </row>
    <row r="897" spans="1:4" ht="13.2" x14ac:dyDescent="0.25">
      <c r="A897" s="6"/>
      <c r="C897" s="6"/>
      <c r="D897" s="6"/>
    </row>
    <row r="898" spans="1:4" ht="13.2" x14ac:dyDescent="0.25">
      <c r="A898" s="6"/>
      <c r="C898" s="6"/>
      <c r="D898" s="6"/>
    </row>
    <row r="899" spans="1:4" ht="13.2" x14ac:dyDescent="0.25">
      <c r="A899" s="6"/>
      <c r="C899" s="6"/>
      <c r="D899" s="6"/>
    </row>
    <row r="900" spans="1:4" ht="13.2" x14ac:dyDescent="0.25">
      <c r="A900" s="6"/>
      <c r="C900" s="6"/>
      <c r="D900" s="6"/>
    </row>
    <row r="901" spans="1:4" ht="13.2" x14ac:dyDescent="0.25">
      <c r="A901" s="6"/>
      <c r="C901" s="6"/>
      <c r="D901" s="6"/>
    </row>
    <row r="902" spans="1:4" ht="13.2" x14ac:dyDescent="0.25">
      <c r="A902" s="6"/>
      <c r="C902" s="6"/>
      <c r="D902" s="6"/>
    </row>
    <row r="903" spans="1:4" ht="13.2" x14ac:dyDescent="0.25">
      <c r="A903" s="6"/>
      <c r="C903" s="6"/>
      <c r="D903" s="6"/>
    </row>
    <row r="904" spans="1:4" ht="13.2" x14ac:dyDescent="0.25">
      <c r="A904" s="6"/>
      <c r="C904" s="6"/>
      <c r="D904" s="6"/>
    </row>
    <row r="905" spans="1:4" ht="13.2" x14ac:dyDescent="0.25">
      <c r="A905" s="6"/>
      <c r="C905" s="6"/>
      <c r="D905" s="6"/>
    </row>
    <row r="906" spans="1:4" ht="13.2" x14ac:dyDescent="0.25">
      <c r="A906" s="6"/>
      <c r="C906" s="6"/>
      <c r="D906" s="6"/>
    </row>
    <row r="907" spans="1:4" ht="13.2" x14ac:dyDescent="0.25">
      <c r="A907" s="6"/>
      <c r="C907" s="6"/>
      <c r="D907" s="6"/>
    </row>
    <row r="908" spans="1:4" ht="13.2" x14ac:dyDescent="0.25">
      <c r="A908" s="6"/>
      <c r="C908" s="6"/>
      <c r="D908" s="6"/>
    </row>
    <row r="909" spans="1:4" ht="13.2" x14ac:dyDescent="0.25">
      <c r="A909" s="6"/>
      <c r="C909" s="6"/>
      <c r="D909" s="6"/>
    </row>
    <row r="910" spans="1:4" ht="13.2" x14ac:dyDescent="0.25">
      <c r="A910" s="6"/>
      <c r="C910" s="6"/>
      <c r="D910" s="6"/>
    </row>
    <row r="911" spans="1:4" ht="13.2" x14ac:dyDescent="0.25">
      <c r="A911" s="6"/>
      <c r="C911" s="6"/>
      <c r="D911" s="6"/>
    </row>
    <row r="912" spans="1:4" ht="13.2" x14ac:dyDescent="0.25">
      <c r="A912" s="6"/>
      <c r="C912" s="6"/>
      <c r="D912" s="6"/>
    </row>
    <row r="913" spans="1:4" ht="13.2" x14ac:dyDescent="0.25">
      <c r="A913" s="6"/>
      <c r="C913" s="6"/>
      <c r="D913" s="6"/>
    </row>
    <row r="914" spans="1:4" ht="13.2" x14ac:dyDescent="0.25">
      <c r="A914" s="6"/>
      <c r="C914" s="6"/>
      <c r="D914" s="6"/>
    </row>
    <row r="915" spans="1:4" ht="13.2" x14ac:dyDescent="0.25">
      <c r="A915" s="6"/>
      <c r="C915" s="6"/>
      <c r="D915" s="6"/>
    </row>
    <row r="916" spans="1:4" ht="13.2" x14ac:dyDescent="0.25">
      <c r="A916" s="6"/>
      <c r="C916" s="6"/>
      <c r="D916" s="6"/>
    </row>
    <row r="917" spans="1:4" ht="13.2" x14ac:dyDescent="0.25">
      <c r="A917" s="6"/>
      <c r="C917" s="6"/>
      <c r="D917" s="6"/>
    </row>
    <row r="918" spans="1:4" ht="13.2" x14ac:dyDescent="0.25">
      <c r="A918" s="6"/>
      <c r="C918" s="6"/>
      <c r="D918" s="6"/>
    </row>
    <row r="919" spans="1:4" ht="13.2" x14ac:dyDescent="0.25">
      <c r="A919" s="6"/>
      <c r="C919" s="6"/>
      <c r="D919" s="6"/>
    </row>
    <row r="920" spans="1:4" ht="13.2" x14ac:dyDescent="0.25">
      <c r="A920" s="6"/>
      <c r="C920" s="6"/>
      <c r="D920" s="6"/>
    </row>
    <row r="921" spans="1:4" ht="13.2" x14ac:dyDescent="0.25">
      <c r="A921" s="6"/>
      <c r="C921" s="6"/>
      <c r="D921" s="6"/>
    </row>
    <row r="922" spans="1:4" ht="13.2" x14ac:dyDescent="0.25">
      <c r="A922" s="6"/>
      <c r="C922" s="6"/>
      <c r="D922" s="6"/>
    </row>
    <row r="923" spans="1:4" ht="13.2" x14ac:dyDescent="0.25">
      <c r="A923" s="6"/>
      <c r="C923" s="6"/>
      <c r="D923" s="6"/>
    </row>
    <row r="924" spans="1:4" ht="13.2" x14ac:dyDescent="0.25">
      <c r="A924" s="6"/>
      <c r="C924" s="6"/>
      <c r="D924" s="6"/>
    </row>
    <row r="925" spans="1:4" ht="13.2" x14ac:dyDescent="0.25">
      <c r="A925" s="6"/>
      <c r="C925" s="6"/>
      <c r="D925" s="6"/>
    </row>
    <row r="926" spans="1:4" ht="13.2" x14ac:dyDescent="0.25">
      <c r="A926" s="6"/>
      <c r="C926" s="6"/>
      <c r="D926" s="6"/>
    </row>
    <row r="927" spans="1:4" ht="13.2" x14ac:dyDescent="0.25">
      <c r="A927" s="6"/>
      <c r="C927" s="6"/>
      <c r="D927" s="6"/>
    </row>
    <row r="928" spans="1:4" ht="13.2" x14ac:dyDescent="0.25">
      <c r="A928" s="6"/>
      <c r="C928" s="6"/>
      <c r="D928" s="6"/>
    </row>
    <row r="929" spans="1:4" ht="13.2" x14ac:dyDescent="0.25">
      <c r="A929" s="6"/>
      <c r="C929" s="6"/>
      <c r="D929" s="6"/>
    </row>
    <row r="930" spans="1:4" ht="13.2" x14ac:dyDescent="0.25">
      <c r="A930" s="6"/>
      <c r="C930" s="6"/>
      <c r="D930" s="6"/>
    </row>
    <row r="931" spans="1:4" ht="13.2" x14ac:dyDescent="0.25">
      <c r="A931" s="6"/>
      <c r="C931" s="6"/>
      <c r="D931" s="6"/>
    </row>
    <row r="932" spans="1:4" ht="13.2" x14ac:dyDescent="0.25">
      <c r="A932" s="6"/>
      <c r="C932" s="6"/>
      <c r="D932" s="6"/>
    </row>
    <row r="933" spans="1:4" ht="13.2" x14ac:dyDescent="0.25">
      <c r="A933" s="6"/>
      <c r="C933" s="6"/>
      <c r="D933" s="6"/>
    </row>
    <row r="934" spans="1:4" ht="13.2" x14ac:dyDescent="0.25">
      <c r="A934" s="6"/>
      <c r="C934" s="6"/>
      <c r="D934" s="6"/>
    </row>
    <row r="935" spans="1:4" ht="13.2" x14ac:dyDescent="0.25">
      <c r="A935" s="6"/>
      <c r="C935" s="6"/>
      <c r="D935" s="6"/>
    </row>
    <row r="936" spans="1:4" ht="13.2" x14ac:dyDescent="0.25">
      <c r="A936" s="6"/>
      <c r="C936" s="6"/>
      <c r="D936" s="6"/>
    </row>
    <row r="937" spans="1:4" ht="13.2" x14ac:dyDescent="0.25">
      <c r="A937" s="6"/>
      <c r="C937" s="6"/>
      <c r="D937" s="6"/>
    </row>
    <row r="938" spans="1:4" ht="13.2" x14ac:dyDescent="0.25">
      <c r="A938" s="6"/>
      <c r="C938" s="6"/>
      <c r="D938" s="6"/>
    </row>
    <row r="939" spans="1:4" ht="13.2" x14ac:dyDescent="0.25">
      <c r="A939" s="6"/>
      <c r="C939" s="6"/>
      <c r="D939" s="6"/>
    </row>
    <row r="940" spans="1:4" ht="13.2" x14ac:dyDescent="0.25">
      <c r="A940" s="6"/>
      <c r="C940" s="6"/>
      <c r="D940" s="6"/>
    </row>
    <row r="941" spans="1:4" ht="13.2" x14ac:dyDescent="0.25">
      <c r="A941" s="6"/>
      <c r="C941" s="6"/>
      <c r="D941" s="6"/>
    </row>
    <row r="942" spans="1:4" ht="13.2" x14ac:dyDescent="0.25">
      <c r="A942" s="6"/>
      <c r="C942" s="6"/>
      <c r="D942" s="6"/>
    </row>
    <row r="943" spans="1:4" ht="13.2" x14ac:dyDescent="0.25">
      <c r="A943" s="6"/>
      <c r="C943" s="6"/>
      <c r="D943" s="6"/>
    </row>
    <row r="944" spans="1:4" ht="13.2" x14ac:dyDescent="0.25">
      <c r="A944" s="6"/>
      <c r="C944" s="6"/>
      <c r="D944" s="6"/>
    </row>
    <row r="945" spans="1:4" ht="13.2" x14ac:dyDescent="0.25">
      <c r="A945" s="6"/>
      <c r="C945" s="6"/>
      <c r="D945" s="6"/>
    </row>
    <row r="946" spans="1:4" ht="13.2" x14ac:dyDescent="0.25">
      <c r="A946" s="6"/>
      <c r="C946" s="6"/>
      <c r="D946" s="6"/>
    </row>
    <row r="947" spans="1:4" ht="13.2" x14ac:dyDescent="0.25">
      <c r="A947" s="6"/>
      <c r="C947" s="6"/>
      <c r="D947" s="6"/>
    </row>
    <row r="948" spans="1:4" ht="13.2" x14ac:dyDescent="0.25">
      <c r="A948" s="6"/>
      <c r="C948" s="6"/>
      <c r="D948" s="6"/>
    </row>
    <row r="949" spans="1:4" ht="13.2" x14ac:dyDescent="0.25">
      <c r="A949" s="6"/>
      <c r="C949" s="6"/>
      <c r="D949" s="6"/>
    </row>
    <row r="950" spans="1:4" ht="13.2" x14ac:dyDescent="0.25">
      <c r="A950" s="6"/>
      <c r="C950" s="6"/>
      <c r="D950" s="6"/>
    </row>
    <row r="951" spans="1:4" ht="13.2" x14ac:dyDescent="0.25">
      <c r="A951" s="6"/>
      <c r="C951" s="6"/>
      <c r="D951" s="6"/>
    </row>
    <row r="952" spans="1:4" ht="13.2" x14ac:dyDescent="0.25">
      <c r="A952" s="6"/>
      <c r="C952" s="6"/>
      <c r="D952" s="6"/>
    </row>
    <row r="953" spans="1:4" ht="13.2" x14ac:dyDescent="0.25">
      <c r="A953" s="6"/>
      <c r="C953" s="6"/>
      <c r="D953" s="6"/>
    </row>
    <row r="954" spans="1:4" ht="13.2" x14ac:dyDescent="0.25">
      <c r="A954" s="6"/>
      <c r="C954" s="6"/>
      <c r="D954" s="6"/>
    </row>
    <row r="955" spans="1:4" ht="13.2" x14ac:dyDescent="0.25">
      <c r="A955" s="6"/>
      <c r="C955" s="6"/>
      <c r="D955" s="6"/>
    </row>
    <row r="956" spans="1:4" ht="13.2" x14ac:dyDescent="0.25">
      <c r="A956" s="6"/>
      <c r="C956" s="6"/>
      <c r="D956" s="6"/>
    </row>
    <row r="957" spans="1:4" ht="13.2" x14ac:dyDescent="0.25">
      <c r="A957" s="6"/>
      <c r="C957" s="6"/>
      <c r="D957" s="6"/>
    </row>
    <row r="958" spans="1:4" ht="13.2" x14ac:dyDescent="0.25">
      <c r="A958" s="6"/>
      <c r="C958" s="6"/>
      <c r="D958" s="6"/>
    </row>
    <row r="959" spans="1:4" ht="13.2" x14ac:dyDescent="0.25">
      <c r="A959" s="6"/>
      <c r="C959" s="6"/>
      <c r="D959" s="6"/>
    </row>
    <row r="960" spans="1:4" ht="13.2" x14ac:dyDescent="0.25">
      <c r="A960" s="6"/>
      <c r="C960" s="6"/>
      <c r="D960" s="6"/>
    </row>
    <row r="961" spans="1:4" ht="13.2" x14ac:dyDescent="0.25">
      <c r="A961" s="6"/>
      <c r="C961" s="6"/>
      <c r="D961" s="6"/>
    </row>
    <row r="962" spans="1:4" ht="13.2" x14ac:dyDescent="0.25">
      <c r="A962" s="6"/>
      <c r="C962" s="6"/>
      <c r="D962" s="6"/>
    </row>
    <row r="963" spans="1:4" ht="13.2" x14ac:dyDescent="0.25">
      <c r="A963" s="6"/>
      <c r="C963" s="6"/>
      <c r="D963" s="6"/>
    </row>
    <row r="964" spans="1:4" ht="13.2" x14ac:dyDescent="0.25">
      <c r="A964" s="6"/>
      <c r="C964" s="6"/>
      <c r="D964" s="6"/>
    </row>
    <row r="965" spans="1:4" ht="13.2" x14ac:dyDescent="0.25">
      <c r="A965" s="6"/>
      <c r="C965" s="6"/>
      <c r="D965" s="6"/>
    </row>
    <row r="966" spans="1:4" ht="13.2" x14ac:dyDescent="0.25">
      <c r="A966" s="6"/>
      <c r="C966" s="6"/>
      <c r="D966" s="6"/>
    </row>
    <row r="967" spans="1:4" ht="13.2" x14ac:dyDescent="0.25">
      <c r="A967" s="6"/>
      <c r="C967" s="6"/>
      <c r="D967" s="6"/>
    </row>
    <row r="968" spans="1:4" ht="13.2" x14ac:dyDescent="0.25">
      <c r="A968" s="6"/>
      <c r="C968" s="6"/>
      <c r="D968" s="6"/>
    </row>
    <row r="969" spans="1:4" ht="13.2" x14ac:dyDescent="0.25">
      <c r="A969" s="6"/>
      <c r="C969" s="6"/>
      <c r="D969" s="6"/>
    </row>
    <row r="970" spans="1:4" ht="13.2" x14ac:dyDescent="0.25">
      <c r="A970" s="6"/>
      <c r="C970" s="6"/>
      <c r="D970" s="6"/>
    </row>
    <row r="971" spans="1:4" ht="13.2" x14ac:dyDescent="0.25">
      <c r="A971" s="6"/>
      <c r="C971" s="6"/>
      <c r="D971" s="6"/>
    </row>
    <row r="972" spans="1:4" ht="13.2" x14ac:dyDescent="0.25">
      <c r="A972" s="6"/>
      <c r="C972" s="6"/>
      <c r="D972" s="6"/>
    </row>
    <row r="973" spans="1:4" ht="13.2" x14ac:dyDescent="0.25">
      <c r="A973" s="6"/>
      <c r="C973" s="6"/>
      <c r="D973" s="6"/>
    </row>
    <row r="974" spans="1:4" ht="13.2" x14ac:dyDescent="0.25">
      <c r="A974" s="6"/>
      <c r="C974" s="6"/>
      <c r="D974" s="6"/>
    </row>
    <row r="975" spans="1:4" ht="13.2" x14ac:dyDescent="0.25">
      <c r="A975" s="6"/>
      <c r="C975" s="6"/>
      <c r="D975" s="6"/>
    </row>
    <row r="976" spans="1:4" ht="13.2" x14ac:dyDescent="0.25">
      <c r="A976" s="6"/>
      <c r="C976" s="6"/>
      <c r="D976" s="6"/>
    </row>
    <row r="977" spans="1:4" ht="13.2" x14ac:dyDescent="0.25">
      <c r="A977" s="6"/>
      <c r="C977" s="6"/>
      <c r="D977" s="6"/>
    </row>
    <row r="978" spans="1:4" ht="13.2" x14ac:dyDescent="0.25">
      <c r="A978" s="6"/>
      <c r="C978" s="6"/>
      <c r="D978" s="6"/>
    </row>
    <row r="979" spans="1:4" ht="13.2" x14ac:dyDescent="0.25">
      <c r="A979" s="6"/>
      <c r="C979" s="6"/>
      <c r="D979" s="6"/>
    </row>
    <row r="980" spans="1:4" ht="13.2" x14ac:dyDescent="0.25">
      <c r="A980" s="6"/>
      <c r="C980" s="6"/>
      <c r="D980" s="6"/>
    </row>
    <row r="981" spans="1:4" ht="13.2" x14ac:dyDescent="0.25">
      <c r="A981" s="6"/>
      <c r="C981" s="6"/>
      <c r="D981" s="6"/>
    </row>
    <row r="982" spans="1:4" ht="13.2" x14ac:dyDescent="0.25">
      <c r="A982" s="6"/>
      <c r="C982" s="6"/>
      <c r="D982" s="6"/>
    </row>
    <row r="983" spans="1:4" ht="13.2" x14ac:dyDescent="0.25">
      <c r="A983" s="6"/>
      <c r="C983" s="6"/>
      <c r="D983" s="6"/>
    </row>
    <row r="984" spans="1:4" ht="13.2" x14ac:dyDescent="0.25">
      <c r="A984" s="6"/>
      <c r="C984" s="6"/>
      <c r="D984" s="6"/>
    </row>
    <row r="985" spans="1:4" ht="13.2" x14ac:dyDescent="0.25">
      <c r="A985" s="6"/>
      <c r="C985" s="6"/>
      <c r="D985" s="6"/>
    </row>
    <row r="986" spans="1:4" ht="13.2" x14ac:dyDescent="0.25">
      <c r="A986" s="6"/>
      <c r="C986" s="6"/>
      <c r="D986" s="6"/>
    </row>
    <row r="987" spans="1:4" ht="13.2" x14ac:dyDescent="0.25">
      <c r="A987" s="6"/>
      <c r="C987" s="6"/>
      <c r="D987" s="6"/>
    </row>
    <row r="988" spans="1:4" ht="13.2" x14ac:dyDescent="0.25">
      <c r="A988" s="6"/>
      <c r="C988" s="6"/>
      <c r="D988" s="6"/>
    </row>
    <row r="989" spans="1:4" ht="13.2" x14ac:dyDescent="0.25">
      <c r="A989" s="6"/>
      <c r="C989" s="6"/>
      <c r="D989" s="6"/>
    </row>
    <row r="990" spans="1:4" ht="13.2" x14ac:dyDescent="0.25">
      <c r="A990" s="6"/>
      <c r="C990" s="6"/>
      <c r="D990" s="6"/>
    </row>
    <row r="991" spans="1:4" ht="13.2" x14ac:dyDescent="0.25">
      <c r="A991" s="6"/>
      <c r="C991" s="6"/>
      <c r="D991" s="6"/>
    </row>
    <row r="992" spans="1:4" ht="13.2" x14ac:dyDescent="0.25">
      <c r="A992" s="6"/>
      <c r="C992" s="6"/>
      <c r="D992" s="6"/>
    </row>
    <row r="993" spans="1:4" ht="13.2" x14ac:dyDescent="0.25">
      <c r="A993" s="6"/>
      <c r="C993" s="6"/>
      <c r="D993" s="6"/>
    </row>
    <row r="994" spans="1:4" ht="13.2" x14ac:dyDescent="0.25">
      <c r="A994" s="6"/>
      <c r="C994" s="6"/>
      <c r="D994" s="6"/>
    </row>
    <row r="995" spans="1:4" ht="13.2" x14ac:dyDescent="0.25">
      <c r="A995" s="6"/>
      <c r="C995" s="6"/>
      <c r="D995" s="6"/>
    </row>
    <row r="996" spans="1:4" ht="13.2" x14ac:dyDescent="0.25">
      <c r="A996" s="6"/>
      <c r="C996" s="6"/>
      <c r="D996" s="6"/>
    </row>
    <row r="997" spans="1:4" ht="13.2" x14ac:dyDescent="0.25">
      <c r="A997" s="6"/>
      <c r="C997" s="6"/>
      <c r="D997" s="6"/>
    </row>
    <row r="998" spans="1:4" ht="13.2" x14ac:dyDescent="0.25">
      <c r="A998" s="6"/>
      <c r="C998" s="6"/>
      <c r="D998" s="6"/>
    </row>
    <row r="999" spans="1:4" ht="13.2" x14ac:dyDescent="0.25">
      <c r="A999" s="6"/>
      <c r="C999" s="6"/>
      <c r="D999" s="6"/>
    </row>
    <row r="1000" spans="1:4" ht="13.2" x14ac:dyDescent="0.25">
      <c r="A1000" s="6"/>
      <c r="C1000" s="6"/>
      <c r="D1000" s="6"/>
    </row>
  </sheetData>
  <mergeCells count="6">
    <mergeCell ref="A22:D22"/>
    <mergeCell ref="J2:J3"/>
    <mergeCell ref="J4:J5"/>
    <mergeCell ref="J8:J9"/>
    <mergeCell ref="J12:J13"/>
    <mergeCell ref="J16:J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331"/>
  <sheetViews>
    <sheetView workbookViewId="0">
      <pane xSplit="2" ySplit="1" topLeftCell="K2" activePane="bottomRight" state="frozen"/>
      <selection pane="topRight" activeCell="C1" sqref="C1"/>
      <selection pane="bottomLeft" activeCell="A2" sqref="A2"/>
      <selection pane="bottomRight" activeCell="Q1" sqref="Q1"/>
    </sheetView>
  </sheetViews>
  <sheetFormatPr defaultColWidth="12.6640625" defaultRowHeight="15.75" customHeight="1" x14ac:dyDescent="0.25"/>
  <cols>
    <col min="7" max="7" width="15.88671875" customWidth="1"/>
    <col min="8" max="8" width="13.6640625" customWidth="1"/>
    <col min="10" max="11" width="14.77734375" customWidth="1"/>
    <col min="12" max="13" width="14" customWidth="1"/>
    <col min="14" max="14" width="14.33203125" customWidth="1"/>
    <col min="15" max="15" width="15.77734375" customWidth="1"/>
    <col min="16" max="16" width="15" customWidth="1"/>
    <col min="17" max="17" width="18.44140625" customWidth="1"/>
  </cols>
  <sheetData>
    <row r="1" spans="1:25" x14ac:dyDescent="0.25">
      <c r="A1" s="11" t="s">
        <v>0</v>
      </c>
      <c r="B1" s="11" t="s">
        <v>34</v>
      </c>
      <c r="C1" s="12" t="s">
        <v>79</v>
      </c>
      <c r="D1" s="12" t="s">
        <v>77</v>
      </c>
      <c r="E1" s="12" t="s">
        <v>78</v>
      </c>
      <c r="F1" s="13" t="s">
        <v>35</v>
      </c>
      <c r="G1" s="14" t="s">
        <v>36</v>
      </c>
      <c r="H1" s="14" t="s">
        <v>37</v>
      </c>
      <c r="I1" s="14" t="s">
        <v>38</v>
      </c>
      <c r="J1" s="14" t="s">
        <v>39</v>
      </c>
      <c r="K1" s="14" t="s">
        <v>40</v>
      </c>
      <c r="L1" s="14" t="s">
        <v>41</v>
      </c>
      <c r="M1" s="14" t="s">
        <v>42</v>
      </c>
      <c r="N1" s="14" t="s">
        <v>43</v>
      </c>
      <c r="O1" s="14" t="s">
        <v>44</v>
      </c>
      <c r="P1" s="14" t="s">
        <v>45</v>
      </c>
      <c r="Q1" s="14" t="s">
        <v>46</v>
      </c>
      <c r="R1" s="15"/>
      <c r="S1" s="15"/>
      <c r="T1" s="15"/>
      <c r="U1" s="15"/>
      <c r="V1" s="15"/>
      <c r="W1" s="15"/>
      <c r="X1" s="15"/>
      <c r="Y1" s="15"/>
    </row>
    <row r="2" spans="1:25" x14ac:dyDescent="0.25">
      <c r="A2" s="16">
        <v>1</v>
      </c>
      <c r="B2" s="16" t="s">
        <v>47</v>
      </c>
      <c r="C2" s="17">
        <v>0.4</v>
      </c>
      <c r="D2" s="17">
        <v>0.125</v>
      </c>
      <c r="E2" s="18">
        <f t="shared" ref="E2:E11" si="0">C2-D2</f>
        <v>0.27500000000000002</v>
      </c>
      <c r="F2" s="19">
        <v>30</v>
      </c>
      <c r="G2" s="20">
        <v>51.400000000000006</v>
      </c>
      <c r="H2" s="20">
        <v>27.5</v>
      </c>
      <c r="I2" s="20">
        <v>50.5</v>
      </c>
      <c r="J2" s="20">
        <v>49.9</v>
      </c>
      <c r="K2" s="20">
        <v>47.85</v>
      </c>
      <c r="L2" s="20">
        <v>50.3</v>
      </c>
      <c r="M2" s="20">
        <v>49.7</v>
      </c>
      <c r="N2" s="20">
        <v>50</v>
      </c>
      <c r="O2" s="20">
        <v>50.5</v>
      </c>
      <c r="P2" s="20">
        <v>50.1</v>
      </c>
      <c r="Q2" s="20">
        <v>49.65</v>
      </c>
      <c r="S2" s="21"/>
      <c r="T2" s="21"/>
      <c r="U2" s="21"/>
      <c r="V2" s="21"/>
      <c r="W2" s="21"/>
      <c r="X2" s="21"/>
      <c r="Y2" s="21"/>
    </row>
    <row r="3" spans="1:25" x14ac:dyDescent="0.25">
      <c r="A3" s="16">
        <v>2</v>
      </c>
      <c r="B3" s="16"/>
      <c r="C3" s="17">
        <v>0.4</v>
      </c>
      <c r="D3" s="17">
        <v>0.125</v>
      </c>
      <c r="E3" s="18">
        <f t="shared" si="0"/>
        <v>0.27500000000000002</v>
      </c>
      <c r="F3" s="19">
        <v>30</v>
      </c>
      <c r="G3" s="20">
        <v>51.3</v>
      </c>
      <c r="H3" s="20">
        <v>27.4</v>
      </c>
      <c r="I3" s="20">
        <v>50.5</v>
      </c>
      <c r="J3" s="20">
        <v>49.9</v>
      </c>
      <c r="K3" s="20">
        <v>47.75</v>
      </c>
      <c r="L3" s="20">
        <v>50.3</v>
      </c>
      <c r="M3" s="20">
        <v>49.7</v>
      </c>
      <c r="N3" s="20">
        <v>49.849999999999994</v>
      </c>
      <c r="O3" s="20">
        <v>50.5</v>
      </c>
      <c r="P3" s="20">
        <v>50.1</v>
      </c>
      <c r="Q3" s="20">
        <v>49.55</v>
      </c>
      <c r="S3" s="21"/>
      <c r="T3" s="21"/>
      <c r="U3" s="21"/>
      <c r="V3" s="21"/>
      <c r="W3" s="21"/>
      <c r="X3" s="21"/>
      <c r="Y3" s="21"/>
    </row>
    <row r="4" spans="1:25" x14ac:dyDescent="0.25">
      <c r="A4" s="16">
        <v>3</v>
      </c>
      <c r="B4" s="16"/>
      <c r="C4" s="17">
        <v>0.4</v>
      </c>
      <c r="D4" s="17">
        <v>0.125</v>
      </c>
      <c r="E4" s="18">
        <f t="shared" si="0"/>
        <v>0.27500000000000002</v>
      </c>
      <c r="F4" s="19">
        <v>30</v>
      </c>
      <c r="G4" s="20">
        <v>51.4</v>
      </c>
      <c r="H4" s="20">
        <v>27.3</v>
      </c>
      <c r="I4" s="20">
        <v>50.6</v>
      </c>
      <c r="J4" s="20">
        <v>50</v>
      </c>
      <c r="K4" s="20">
        <v>47.65</v>
      </c>
      <c r="L4" s="20">
        <v>50.4</v>
      </c>
      <c r="M4" s="20">
        <v>49.6</v>
      </c>
      <c r="N4" s="20">
        <v>49.95</v>
      </c>
      <c r="O4" s="20">
        <v>50.4</v>
      </c>
      <c r="P4" s="20">
        <v>50</v>
      </c>
      <c r="Q4" s="20">
        <v>49.55</v>
      </c>
      <c r="S4" s="21"/>
      <c r="T4" s="21"/>
      <c r="U4" s="21"/>
      <c r="V4" s="21"/>
      <c r="W4" s="21"/>
      <c r="X4" s="21"/>
      <c r="Y4" s="21"/>
    </row>
    <row r="5" spans="1:25" x14ac:dyDescent="0.25">
      <c r="A5" s="16">
        <v>4</v>
      </c>
      <c r="B5" s="16"/>
      <c r="C5" s="17">
        <v>0.4</v>
      </c>
      <c r="D5" s="17">
        <v>0.125</v>
      </c>
      <c r="E5" s="18">
        <f t="shared" si="0"/>
        <v>0.27500000000000002</v>
      </c>
      <c r="F5" s="19">
        <v>30</v>
      </c>
      <c r="G5" s="20">
        <v>51.3</v>
      </c>
      <c r="H5" s="20">
        <v>27.15</v>
      </c>
      <c r="I5" s="20">
        <v>50.4</v>
      </c>
      <c r="J5" s="20">
        <v>49.8</v>
      </c>
      <c r="K5" s="20">
        <v>47.65</v>
      </c>
      <c r="L5" s="20">
        <v>50.2</v>
      </c>
      <c r="M5" s="20">
        <v>49.6</v>
      </c>
      <c r="N5" s="20">
        <v>49.95</v>
      </c>
      <c r="O5" s="20">
        <v>50.4</v>
      </c>
      <c r="P5" s="20">
        <v>50</v>
      </c>
      <c r="Q5" s="20">
        <v>49.45</v>
      </c>
      <c r="S5" s="21"/>
      <c r="T5" s="21"/>
      <c r="U5" s="21"/>
      <c r="V5" s="21"/>
      <c r="W5" s="21"/>
      <c r="X5" s="21"/>
      <c r="Y5" s="21"/>
    </row>
    <row r="6" spans="1:25" x14ac:dyDescent="0.25">
      <c r="A6" s="16">
        <v>5</v>
      </c>
      <c r="B6" s="16"/>
      <c r="C6" s="17">
        <v>0.4</v>
      </c>
      <c r="D6" s="17">
        <v>0.125</v>
      </c>
      <c r="E6" s="18">
        <f t="shared" si="0"/>
        <v>0.27500000000000002</v>
      </c>
      <c r="F6" s="19">
        <v>30</v>
      </c>
      <c r="G6" s="20">
        <v>51.3</v>
      </c>
      <c r="H6" s="20">
        <v>27.15</v>
      </c>
      <c r="I6" s="20">
        <v>50.4</v>
      </c>
      <c r="J6" s="20">
        <v>49.8</v>
      </c>
      <c r="K6" s="20">
        <v>47.65</v>
      </c>
      <c r="L6" s="20">
        <v>50.2</v>
      </c>
      <c r="M6" s="20">
        <v>49.6</v>
      </c>
      <c r="N6" s="20">
        <v>49.95</v>
      </c>
      <c r="O6" s="20">
        <v>50.4</v>
      </c>
      <c r="P6" s="20">
        <v>50</v>
      </c>
      <c r="Q6" s="20">
        <v>49.55</v>
      </c>
      <c r="S6" s="21"/>
      <c r="T6" s="21"/>
      <c r="U6" s="21"/>
      <c r="V6" s="21"/>
      <c r="W6" s="21"/>
      <c r="X6" s="21"/>
      <c r="Y6" s="21"/>
    </row>
    <row r="7" spans="1:25" x14ac:dyDescent="0.25">
      <c r="A7" s="16">
        <v>6</v>
      </c>
      <c r="B7" s="16"/>
      <c r="C7" s="17">
        <v>0.4</v>
      </c>
      <c r="D7" s="17">
        <v>0.125</v>
      </c>
      <c r="E7" s="18">
        <f t="shared" si="0"/>
        <v>0.27500000000000002</v>
      </c>
      <c r="F7" s="19">
        <v>30</v>
      </c>
      <c r="G7" s="20">
        <v>51.3</v>
      </c>
      <c r="H7" s="20">
        <v>27.15</v>
      </c>
      <c r="I7" s="20">
        <v>50.4</v>
      </c>
      <c r="J7" s="20">
        <v>49.8</v>
      </c>
      <c r="K7" s="20">
        <v>47.75</v>
      </c>
      <c r="L7" s="20">
        <v>50.2</v>
      </c>
      <c r="M7" s="20">
        <v>49.6</v>
      </c>
      <c r="N7" s="20">
        <v>49.95</v>
      </c>
      <c r="O7" s="20">
        <v>50.4</v>
      </c>
      <c r="P7" s="20">
        <v>50</v>
      </c>
      <c r="Q7" s="20">
        <v>49.55</v>
      </c>
      <c r="S7" s="21"/>
      <c r="T7" s="21"/>
      <c r="U7" s="21"/>
      <c r="V7" s="21"/>
      <c r="W7" s="21"/>
      <c r="X7" s="21"/>
      <c r="Y7" s="21"/>
    </row>
    <row r="8" spans="1:25" x14ac:dyDescent="0.25">
      <c r="A8" s="16">
        <v>7</v>
      </c>
      <c r="B8" s="16"/>
      <c r="C8" s="17">
        <v>0.4</v>
      </c>
      <c r="D8" s="17">
        <v>0.125</v>
      </c>
      <c r="E8" s="18">
        <f t="shared" si="0"/>
        <v>0.27500000000000002</v>
      </c>
      <c r="F8" s="19">
        <v>30</v>
      </c>
      <c r="G8" s="20">
        <v>51.2</v>
      </c>
      <c r="H8" s="20">
        <v>27.15</v>
      </c>
      <c r="I8" s="20">
        <v>50.4</v>
      </c>
      <c r="J8" s="20">
        <v>49.8</v>
      </c>
      <c r="K8" s="20">
        <v>47.599999999999994</v>
      </c>
      <c r="L8" s="20">
        <v>50.2</v>
      </c>
      <c r="M8" s="20">
        <v>49.5</v>
      </c>
      <c r="N8" s="20">
        <v>49.75</v>
      </c>
      <c r="O8" s="20">
        <v>50.4</v>
      </c>
      <c r="P8" s="20">
        <v>49.8</v>
      </c>
      <c r="Q8" s="20">
        <v>49.45</v>
      </c>
      <c r="S8" s="21"/>
      <c r="T8" s="21"/>
      <c r="U8" s="21"/>
      <c r="V8" s="21"/>
      <c r="W8" s="21"/>
      <c r="X8" s="21"/>
      <c r="Y8" s="21"/>
    </row>
    <row r="9" spans="1:25" x14ac:dyDescent="0.25">
      <c r="A9" s="16">
        <v>8</v>
      </c>
      <c r="B9" s="16"/>
      <c r="C9" s="17">
        <v>0.4</v>
      </c>
      <c r="D9" s="17">
        <v>0.125</v>
      </c>
      <c r="E9" s="18">
        <f t="shared" si="0"/>
        <v>0.27500000000000002</v>
      </c>
      <c r="F9" s="19">
        <v>30</v>
      </c>
      <c r="G9" s="20">
        <v>51.4</v>
      </c>
      <c r="H9" s="20">
        <v>27.049999999999997</v>
      </c>
      <c r="I9" s="20">
        <v>50.4</v>
      </c>
      <c r="J9" s="20">
        <v>49.8</v>
      </c>
      <c r="K9" s="20">
        <v>47.65</v>
      </c>
      <c r="L9" s="20">
        <v>50.2</v>
      </c>
      <c r="M9" s="20">
        <v>49.6</v>
      </c>
      <c r="N9" s="20">
        <v>49.849999999999994</v>
      </c>
      <c r="O9" s="20">
        <v>50.4</v>
      </c>
      <c r="P9" s="20">
        <v>50</v>
      </c>
      <c r="Q9" s="20">
        <v>49.45</v>
      </c>
      <c r="S9" s="21"/>
      <c r="T9" s="21"/>
      <c r="U9" s="21"/>
      <c r="V9" s="21"/>
      <c r="W9" s="21"/>
      <c r="X9" s="21"/>
      <c r="Y9" s="21"/>
    </row>
    <row r="10" spans="1:25" x14ac:dyDescent="0.25">
      <c r="A10" s="16">
        <v>9</v>
      </c>
      <c r="B10" s="16"/>
      <c r="C10" s="17">
        <v>0.4</v>
      </c>
      <c r="D10" s="17">
        <v>0.125</v>
      </c>
      <c r="E10" s="18">
        <f t="shared" si="0"/>
        <v>0.27500000000000002</v>
      </c>
      <c r="F10" s="19">
        <v>30</v>
      </c>
      <c r="G10" s="20">
        <v>51.400000000000006</v>
      </c>
      <c r="H10" s="20">
        <v>27.05</v>
      </c>
      <c r="I10" s="20">
        <v>50.5</v>
      </c>
      <c r="J10" s="20">
        <v>49.9</v>
      </c>
      <c r="K10" s="20">
        <v>47.8</v>
      </c>
      <c r="L10" s="20">
        <v>50.3</v>
      </c>
      <c r="M10" s="20">
        <v>49.7</v>
      </c>
      <c r="N10" s="20">
        <v>50</v>
      </c>
      <c r="O10" s="20">
        <v>50.5</v>
      </c>
      <c r="P10" s="20">
        <v>50.1</v>
      </c>
      <c r="Q10" s="20">
        <v>49.7</v>
      </c>
      <c r="S10" s="21"/>
      <c r="T10" s="21"/>
      <c r="U10" s="21"/>
      <c r="V10" s="21"/>
      <c r="W10" s="21"/>
      <c r="X10" s="21"/>
      <c r="Y10" s="21"/>
    </row>
    <row r="11" spans="1:25" x14ac:dyDescent="0.25">
      <c r="A11" s="16">
        <v>10</v>
      </c>
      <c r="B11" s="16"/>
      <c r="C11" s="17">
        <v>0.4</v>
      </c>
      <c r="D11" s="17">
        <v>0.125</v>
      </c>
      <c r="E11" s="18">
        <f t="shared" si="0"/>
        <v>0.27500000000000002</v>
      </c>
      <c r="F11" s="19">
        <v>30</v>
      </c>
      <c r="G11" s="20">
        <v>51.3</v>
      </c>
      <c r="H11" s="20">
        <v>26.950000000000003</v>
      </c>
      <c r="I11" s="20">
        <v>50.5</v>
      </c>
      <c r="J11" s="20">
        <v>49.9</v>
      </c>
      <c r="K11" s="20">
        <v>47.65</v>
      </c>
      <c r="L11" s="20">
        <v>50.3</v>
      </c>
      <c r="M11" s="20">
        <v>49.7</v>
      </c>
      <c r="N11" s="20">
        <v>50</v>
      </c>
      <c r="O11" s="20">
        <v>50.5</v>
      </c>
      <c r="P11" s="20">
        <v>50.1</v>
      </c>
      <c r="Q11" s="20">
        <v>49.7</v>
      </c>
      <c r="S11" s="21"/>
      <c r="T11" s="21"/>
      <c r="U11" s="21"/>
      <c r="V11" s="21"/>
      <c r="W11" s="21"/>
      <c r="X11" s="21"/>
      <c r="Y11" s="21"/>
    </row>
    <row r="12" spans="1:25" x14ac:dyDescent="0.25">
      <c r="A12" s="16"/>
      <c r="B12" s="16"/>
      <c r="C12" s="16"/>
      <c r="D12" s="16"/>
      <c r="E12" s="16"/>
      <c r="F12" s="19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1"/>
      <c r="S12" s="21"/>
      <c r="T12" s="21"/>
      <c r="U12" s="21"/>
      <c r="V12" s="21"/>
      <c r="W12" s="21"/>
      <c r="X12" s="21"/>
      <c r="Y12" s="21"/>
    </row>
    <row r="13" spans="1:25" x14ac:dyDescent="0.25">
      <c r="A13" s="16">
        <v>11</v>
      </c>
      <c r="B13" s="16" t="s">
        <v>48</v>
      </c>
      <c r="C13" s="17">
        <v>0.32500000000000001</v>
      </c>
      <c r="D13" s="17">
        <v>0.1</v>
      </c>
      <c r="E13" s="17">
        <f t="shared" ref="E13:E22" si="1">C13-D13</f>
        <v>0.22500000000000001</v>
      </c>
      <c r="F13" s="19">
        <v>25</v>
      </c>
      <c r="G13" s="20">
        <v>51.35</v>
      </c>
      <c r="H13" s="20">
        <v>27.3</v>
      </c>
      <c r="I13" s="20">
        <v>50.4</v>
      </c>
      <c r="J13" s="20">
        <v>49.7</v>
      </c>
      <c r="K13" s="20">
        <v>47.7</v>
      </c>
      <c r="L13" s="20">
        <v>50</v>
      </c>
      <c r="M13" s="20">
        <v>49.5</v>
      </c>
      <c r="N13" s="20">
        <v>49.75</v>
      </c>
      <c r="O13" s="20">
        <v>50.4</v>
      </c>
      <c r="P13" s="20">
        <v>49.9</v>
      </c>
      <c r="Q13" s="20">
        <v>49.6</v>
      </c>
      <c r="S13" s="21"/>
      <c r="T13" s="21"/>
      <c r="U13" s="21"/>
      <c r="V13" s="21"/>
      <c r="W13" s="21"/>
      <c r="X13" s="21"/>
      <c r="Y13" s="21"/>
    </row>
    <row r="14" spans="1:25" x14ac:dyDescent="0.25">
      <c r="A14" s="16">
        <v>12</v>
      </c>
      <c r="B14" s="16"/>
      <c r="C14" s="17">
        <v>0.32500000000000001</v>
      </c>
      <c r="D14" s="17">
        <v>0.1</v>
      </c>
      <c r="E14" s="17">
        <f t="shared" si="1"/>
        <v>0.22500000000000001</v>
      </c>
      <c r="F14" s="19">
        <v>25</v>
      </c>
      <c r="G14" s="20">
        <v>51.5</v>
      </c>
      <c r="H14" s="20">
        <v>27.2</v>
      </c>
      <c r="I14" s="20">
        <v>50.4</v>
      </c>
      <c r="J14" s="20">
        <v>49.7</v>
      </c>
      <c r="K14" s="20">
        <v>47.65</v>
      </c>
      <c r="L14" s="20">
        <v>50</v>
      </c>
      <c r="M14" s="20">
        <v>49.5</v>
      </c>
      <c r="N14" s="20">
        <v>49.75</v>
      </c>
      <c r="O14" s="20">
        <v>50.4</v>
      </c>
      <c r="P14" s="20">
        <v>49.9</v>
      </c>
      <c r="Q14" s="20">
        <v>49.6</v>
      </c>
      <c r="S14" s="21"/>
      <c r="T14" s="21"/>
      <c r="U14" s="21"/>
      <c r="V14" s="21"/>
      <c r="W14" s="21"/>
      <c r="X14" s="21"/>
      <c r="Y14" s="21"/>
    </row>
    <row r="15" spans="1:25" x14ac:dyDescent="0.25">
      <c r="A15" s="16">
        <v>13</v>
      </c>
      <c r="B15" s="16"/>
      <c r="C15" s="17">
        <v>0.32500000000000001</v>
      </c>
      <c r="D15" s="17">
        <v>0.1</v>
      </c>
      <c r="E15" s="17">
        <f t="shared" si="1"/>
        <v>0.22500000000000001</v>
      </c>
      <c r="F15" s="19">
        <v>25</v>
      </c>
      <c r="G15" s="20">
        <v>51.5</v>
      </c>
      <c r="H15" s="20">
        <v>27.2</v>
      </c>
      <c r="I15" s="20">
        <v>50.4</v>
      </c>
      <c r="J15" s="20">
        <v>49.7</v>
      </c>
      <c r="K15" s="20">
        <v>47.65</v>
      </c>
      <c r="L15" s="20">
        <v>50</v>
      </c>
      <c r="M15" s="20">
        <v>49.5</v>
      </c>
      <c r="N15" s="20">
        <v>49.75</v>
      </c>
      <c r="O15" s="20">
        <v>50.4</v>
      </c>
      <c r="P15" s="20">
        <v>49.9</v>
      </c>
      <c r="Q15" s="20">
        <v>49.6</v>
      </c>
      <c r="S15" s="21"/>
      <c r="T15" s="21"/>
      <c r="U15" s="21"/>
      <c r="V15" s="21"/>
      <c r="W15" s="21"/>
      <c r="X15" s="21"/>
      <c r="Y15" s="21"/>
    </row>
    <row r="16" spans="1:25" x14ac:dyDescent="0.25">
      <c r="A16" s="16">
        <v>14</v>
      </c>
      <c r="B16" s="16"/>
      <c r="C16" s="17">
        <v>0.32500000000000001</v>
      </c>
      <c r="D16" s="17">
        <v>0.1</v>
      </c>
      <c r="E16" s="17">
        <f t="shared" si="1"/>
        <v>0.22500000000000001</v>
      </c>
      <c r="F16" s="19">
        <v>25</v>
      </c>
      <c r="G16" s="20">
        <v>51.7</v>
      </c>
      <c r="H16" s="20">
        <v>27.85</v>
      </c>
      <c r="I16" s="20">
        <v>50.4</v>
      </c>
      <c r="J16" s="20">
        <v>49.9</v>
      </c>
      <c r="K16" s="20">
        <v>47.75</v>
      </c>
      <c r="L16" s="20">
        <v>50</v>
      </c>
      <c r="M16" s="20">
        <v>49.5</v>
      </c>
      <c r="N16" s="20">
        <v>49.75</v>
      </c>
      <c r="O16" s="20">
        <v>50.4</v>
      </c>
      <c r="P16" s="20">
        <v>49.9</v>
      </c>
      <c r="Q16" s="20">
        <v>49.6</v>
      </c>
      <c r="S16" s="21"/>
      <c r="T16" s="21"/>
      <c r="U16" s="21"/>
      <c r="V16" s="21"/>
      <c r="W16" s="21"/>
      <c r="X16" s="21"/>
      <c r="Y16" s="21"/>
    </row>
    <row r="17" spans="1:25" x14ac:dyDescent="0.25">
      <c r="A17" s="16">
        <v>15</v>
      </c>
      <c r="B17" s="16"/>
      <c r="C17" s="17">
        <v>0.32500000000000001</v>
      </c>
      <c r="D17" s="17">
        <v>0.1</v>
      </c>
      <c r="E17" s="17">
        <f t="shared" si="1"/>
        <v>0.22500000000000001</v>
      </c>
      <c r="F17" s="19">
        <v>25</v>
      </c>
      <c r="G17" s="20">
        <v>51.5</v>
      </c>
      <c r="H17" s="20">
        <v>28.3</v>
      </c>
      <c r="I17" s="20">
        <v>50.4</v>
      </c>
      <c r="J17" s="20">
        <v>49.9</v>
      </c>
      <c r="K17" s="20">
        <v>47.75</v>
      </c>
      <c r="L17" s="20">
        <v>50.2</v>
      </c>
      <c r="M17" s="20">
        <v>49.7</v>
      </c>
      <c r="N17" s="20">
        <v>49.849999999999994</v>
      </c>
      <c r="O17" s="20">
        <v>50.4</v>
      </c>
      <c r="P17" s="20">
        <v>49.9</v>
      </c>
      <c r="Q17" s="20">
        <v>49.8</v>
      </c>
      <c r="S17" s="21"/>
      <c r="T17" s="21"/>
      <c r="U17" s="21"/>
      <c r="V17" s="21"/>
      <c r="W17" s="21"/>
      <c r="X17" s="21"/>
      <c r="Y17" s="21"/>
    </row>
    <row r="18" spans="1:25" x14ac:dyDescent="0.25">
      <c r="A18" s="16">
        <v>16</v>
      </c>
      <c r="B18" s="16"/>
      <c r="C18" s="17">
        <v>0.32500000000000001</v>
      </c>
      <c r="D18" s="17">
        <v>0.1</v>
      </c>
      <c r="E18" s="17">
        <f t="shared" si="1"/>
        <v>0.22500000000000001</v>
      </c>
      <c r="F18" s="19">
        <v>25</v>
      </c>
      <c r="G18" s="20">
        <v>51.5</v>
      </c>
      <c r="H18" s="20">
        <v>27.7</v>
      </c>
      <c r="I18" s="20">
        <v>50.5</v>
      </c>
      <c r="J18" s="20">
        <v>49.9</v>
      </c>
      <c r="K18" s="20">
        <v>47.85</v>
      </c>
      <c r="L18" s="20">
        <v>50.3</v>
      </c>
      <c r="M18" s="20">
        <v>49.6</v>
      </c>
      <c r="N18" s="20">
        <v>49.849999999999994</v>
      </c>
      <c r="O18" s="20">
        <v>50.5</v>
      </c>
      <c r="P18" s="20">
        <v>49.9</v>
      </c>
      <c r="Q18" s="20">
        <v>49.75</v>
      </c>
      <c r="S18" s="21"/>
      <c r="T18" s="21"/>
      <c r="U18" s="21"/>
      <c r="V18" s="21"/>
      <c r="W18" s="21"/>
      <c r="X18" s="21"/>
      <c r="Y18" s="21"/>
    </row>
    <row r="19" spans="1:25" x14ac:dyDescent="0.25">
      <c r="A19" s="16">
        <v>17</v>
      </c>
      <c r="B19" s="16"/>
      <c r="C19" s="17">
        <v>0.32500000000000001</v>
      </c>
      <c r="D19" s="17">
        <v>0.1</v>
      </c>
      <c r="E19" s="17">
        <f t="shared" si="1"/>
        <v>0.22500000000000001</v>
      </c>
      <c r="F19" s="19">
        <v>25</v>
      </c>
      <c r="G19" s="20">
        <v>51.45</v>
      </c>
      <c r="H19" s="20">
        <v>27.4</v>
      </c>
      <c r="I19" s="20">
        <v>50.5</v>
      </c>
      <c r="J19" s="20">
        <v>49.8</v>
      </c>
      <c r="K19" s="20">
        <v>47.85</v>
      </c>
      <c r="L19" s="20">
        <v>50.1</v>
      </c>
      <c r="M19" s="20">
        <v>49.6</v>
      </c>
      <c r="N19" s="20">
        <v>49.849999999999994</v>
      </c>
      <c r="O19" s="20">
        <v>50.5</v>
      </c>
      <c r="P19" s="20">
        <v>49.9</v>
      </c>
      <c r="Q19" s="20">
        <v>49.75</v>
      </c>
      <c r="S19" s="21"/>
      <c r="T19" s="21"/>
      <c r="U19" s="21"/>
      <c r="V19" s="21"/>
      <c r="W19" s="21"/>
      <c r="X19" s="21"/>
      <c r="Y19" s="21"/>
    </row>
    <row r="20" spans="1:25" x14ac:dyDescent="0.25">
      <c r="A20" s="16">
        <v>18</v>
      </c>
      <c r="B20" s="16"/>
      <c r="C20" s="17">
        <v>0.32500000000000001</v>
      </c>
      <c r="D20" s="17">
        <v>0.1</v>
      </c>
      <c r="E20" s="17">
        <f t="shared" si="1"/>
        <v>0.22500000000000001</v>
      </c>
      <c r="F20" s="19">
        <v>25</v>
      </c>
      <c r="G20" s="20">
        <v>51.45</v>
      </c>
      <c r="H20" s="20">
        <v>27.35</v>
      </c>
      <c r="I20" s="20">
        <v>50.3</v>
      </c>
      <c r="J20" s="20">
        <v>49.8</v>
      </c>
      <c r="K20" s="20">
        <v>47.75</v>
      </c>
      <c r="L20" s="20">
        <v>50.1</v>
      </c>
      <c r="M20" s="20">
        <v>49.6</v>
      </c>
      <c r="N20" s="20">
        <v>49.849999999999994</v>
      </c>
      <c r="O20" s="20">
        <v>50.5</v>
      </c>
      <c r="P20" s="20">
        <v>49.9</v>
      </c>
      <c r="Q20" s="20">
        <v>49.7</v>
      </c>
      <c r="S20" s="21"/>
      <c r="T20" s="21"/>
      <c r="U20" s="21"/>
      <c r="V20" s="21"/>
      <c r="W20" s="21"/>
      <c r="X20" s="21"/>
      <c r="Y20" s="21"/>
    </row>
    <row r="21" spans="1:25" x14ac:dyDescent="0.25">
      <c r="A21" s="16">
        <v>19</v>
      </c>
      <c r="B21" s="16"/>
      <c r="C21" s="17">
        <v>0.32500000000000001</v>
      </c>
      <c r="D21" s="17">
        <v>0.1</v>
      </c>
      <c r="E21" s="17">
        <f t="shared" si="1"/>
        <v>0.22500000000000001</v>
      </c>
      <c r="F21" s="19">
        <v>25</v>
      </c>
      <c r="G21" s="20">
        <v>51.45</v>
      </c>
      <c r="H21" s="20">
        <v>27.2</v>
      </c>
      <c r="I21" s="20">
        <v>50.3</v>
      </c>
      <c r="J21" s="20">
        <v>49.8</v>
      </c>
      <c r="K21" s="20">
        <v>47.65</v>
      </c>
      <c r="L21" s="20">
        <v>50.1</v>
      </c>
      <c r="M21" s="20">
        <v>49.6</v>
      </c>
      <c r="N21" s="20">
        <v>49.75</v>
      </c>
      <c r="O21" s="20">
        <v>50.3</v>
      </c>
      <c r="P21" s="20">
        <v>49.9</v>
      </c>
      <c r="Q21" s="20">
        <v>49.7</v>
      </c>
      <c r="S21" s="21"/>
      <c r="T21" s="21"/>
      <c r="U21" s="21"/>
      <c r="V21" s="21"/>
      <c r="W21" s="21"/>
      <c r="X21" s="21"/>
      <c r="Y21" s="21"/>
    </row>
    <row r="22" spans="1:25" x14ac:dyDescent="0.25">
      <c r="A22" s="16">
        <v>20</v>
      </c>
      <c r="B22" s="16"/>
      <c r="C22" s="17">
        <v>0.32500000000000001</v>
      </c>
      <c r="D22" s="17">
        <v>0.1</v>
      </c>
      <c r="E22" s="17">
        <f t="shared" si="1"/>
        <v>0.22500000000000001</v>
      </c>
      <c r="F22" s="19">
        <v>25</v>
      </c>
      <c r="G22" s="20">
        <v>51.45</v>
      </c>
      <c r="H22" s="20">
        <v>27.1</v>
      </c>
      <c r="I22" s="20">
        <v>50.3</v>
      </c>
      <c r="J22" s="20">
        <v>49.8</v>
      </c>
      <c r="K22" s="20">
        <v>47.75</v>
      </c>
      <c r="L22" s="20">
        <v>50.1</v>
      </c>
      <c r="M22" s="20">
        <v>49.6</v>
      </c>
      <c r="N22" s="20">
        <v>49.75</v>
      </c>
      <c r="O22" s="20">
        <v>50.3</v>
      </c>
      <c r="P22" s="20">
        <v>49.9</v>
      </c>
      <c r="Q22" s="20">
        <v>49.7</v>
      </c>
      <c r="S22" s="21"/>
      <c r="T22" s="21"/>
      <c r="U22" s="21"/>
      <c r="V22" s="21"/>
      <c r="W22" s="21"/>
      <c r="X22" s="21"/>
      <c r="Y22" s="21"/>
    </row>
    <row r="23" spans="1:25" x14ac:dyDescent="0.25">
      <c r="A23" s="16"/>
      <c r="B23" s="16"/>
      <c r="C23" s="16"/>
      <c r="D23" s="16"/>
      <c r="E23" s="16"/>
      <c r="F23" s="19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21"/>
      <c r="S23" s="21"/>
      <c r="T23" s="21"/>
      <c r="U23" s="21"/>
      <c r="V23" s="21"/>
      <c r="W23" s="21"/>
      <c r="X23" s="21"/>
      <c r="Y23" s="21"/>
    </row>
    <row r="24" spans="1:25" x14ac:dyDescent="0.25">
      <c r="A24" s="16">
        <v>21</v>
      </c>
      <c r="B24" s="16" t="s">
        <v>49</v>
      </c>
      <c r="C24" s="17">
        <v>0.25</v>
      </c>
      <c r="D24" s="17">
        <v>0.1</v>
      </c>
      <c r="E24" s="18">
        <f t="shared" ref="E24:E33" si="2">C24-D24</f>
        <v>0.15</v>
      </c>
      <c r="F24" s="19">
        <v>20</v>
      </c>
      <c r="G24" s="20">
        <v>51.400000000000006</v>
      </c>
      <c r="H24" s="20">
        <v>27.2</v>
      </c>
      <c r="I24" s="20">
        <v>50.4</v>
      </c>
      <c r="J24" s="20">
        <v>49.7</v>
      </c>
      <c r="K24" s="20">
        <v>47.55</v>
      </c>
      <c r="L24" s="20">
        <v>50.2</v>
      </c>
      <c r="M24" s="20">
        <v>49.5</v>
      </c>
      <c r="N24" s="20">
        <v>49.75</v>
      </c>
      <c r="O24" s="20">
        <v>50.4</v>
      </c>
      <c r="P24" s="20">
        <v>49.9</v>
      </c>
      <c r="Q24" s="20">
        <v>49.7</v>
      </c>
      <c r="S24" s="21"/>
      <c r="T24" s="21"/>
      <c r="U24" s="21"/>
      <c r="V24" s="21"/>
      <c r="W24" s="21"/>
      <c r="X24" s="21"/>
      <c r="Y24" s="21"/>
    </row>
    <row r="25" spans="1:25" x14ac:dyDescent="0.25">
      <c r="A25" s="16">
        <v>22</v>
      </c>
      <c r="B25" s="16"/>
      <c r="C25" s="17">
        <v>0.25</v>
      </c>
      <c r="D25" s="17">
        <v>0.1</v>
      </c>
      <c r="E25" s="18">
        <f t="shared" si="2"/>
        <v>0.15</v>
      </c>
      <c r="F25" s="19">
        <v>20</v>
      </c>
      <c r="G25" s="20">
        <v>51.400000000000006</v>
      </c>
      <c r="H25" s="20">
        <v>27.2</v>
      </c>
      <c r="I25" s="20">
        <v>50.4</v>
      </c>
      <c r="J25" s="20">
        <v>49.7</v>
      </c>
      <c r="K25" s="20">
        <v>47.55</v>
      </c>
      <c r="L25" s="20">
        <v>50.2</v>
      </c>
      <c r="M25" s="20">
        <v>49.5</v>
      </c>
      <c r="N25" s="20">
        <v>49.75</v>
      </c>
      <c r="O25" s="20">
        <v>50.4</v>
      </c>
      <c r="P25" s="20">
        <v>49.9</v>
      </c>
      <c r="Q25" s="20">
        <v>49.7</v>
      </c>
      <c r="S25" s="21"/>
      <c r="T25" s="21"/>
      <c r="U25" s="21"/>
      <c r="V25" s="21"/>
      <c r="W25" s="21"/>
      <c r="X25" s="21"/>
      <c r="Y25" s="21"/>
    </row>
    <row r="26" spans="1:25" x14ac:dyDescent="0.25">
      <c r="A26" s="16">
        <v>23</v>
      </c>
      <c r="B26" s="16"/>
      <c r="C26" s="17">
        <v>0.25</v>
      </c>
      <c r="D26" s="17">
        <v>0.1</v>
      </c>
      <c r="E26" s="18">
        <f t="shared" si="2"/>
        <v>0.15</v>
      </c>
      <c r="F26" s="19">
        <v>20</v>
      </c>
      <c r="G26" s="20">
        <v>51.3</v>
      </c>
      <c r="H26" s="20">
        <v>27.1</v>
      </c>
      <c r="I26" s="20">
        <v>50.4</v>
      </c>
      <c r="J26" s="20">
        <v>49.7</v>
      </c>
      <c r="K26" s="20">
        <v>47.45</v>
      </c>
      <c r="L26" s="20">
        <v>50.2</v>
      </c>
      <c r="M26" s="20">
        <v>49.5</v>
      </c>
      <c r="N26" s="20">
        <v>49.75</v>
      </c>
      <c r="O26" s="20">
        <v>50.4</v>
      </c>
      <c r="P26" s="20">
        <v>49.9</v>
      </c>
      <c r="Q26" s="20">
        <v>49.6</v>
      </c>
      <c r="S26" s="21"/>
      <c r="T26" s="21"/>
      <c r="U26" s="21"/>
      <c r="V26" s="21"/>
      <c r="W26" s="21"/>
      <c r="X26" s="21"/>
      <c r="Y26" s="21"/>
    </row>
    <row r="27" spans="1:25" x14ac:dyDescent="0.25">
      <c r="A27" s="16">
        <v>24</v>
      </c>
      <c r="B27" s="16"/>
      <c r="C27" s="17">
        <v>0.25</v>
      </c>
      <c r="D27" s="17">
        <v>0.1</v>
      </c>
      <c r="E27" s="18">
        <f t="shared" si="2"/>
        <v>0.15</v>
      </c>
      <c r="F27" s="19">
        <v>20</v>
      </c>
      <c r="G27" s="20">
        <v>51.2</v>
      </c>
      <c r="H27" s="20">
        <v>27.2</v>
      </c>
      <c r="I27" s="20">
        <v>50.4</v>
      </c>
      <c r="J27" s="20">
        <v>49.7</v>
      </c>
      <c r="K27" s="20">
        <v>47.55</v>
      </c>
      <c r="L27" s="20">
        <v>50.2</v>
      </c>
      <c r="M27" s="20">
        <v>49.5</v>
      </c>
      <c r="N27" s="20">
        <v>49.75</v>
      </c>
      <c r="O27" s="20">
        <v>50.4</v>
      </c>
      <c r="P27" s="20">
        <v>49.9</v>
      </c>
      <c r="Q27" s="20">
        <v>49.6</v>
      </c>
      <c r="S27" s="21"/>
      <c r="T27" s="21"/>
      <c r="U27" s="21"/>
      <c r="V27" s="21"/>
      <c r="W27" s="21"/>
      <c r="X27" s="21"/>
      <c r="Y27" s="21"/>
    </row>
    <row r="28" spans="1:25" x14ac:dyDescent="0.25">
      <c r="A28" s="16">
        <v>25</v>
      </c>
      <c r="B28" s="16"/>
      <c r="C28" s="17">
        <v>0.25</v>
      </c>
      <c r="D28" s="17">
        <v>0.1</v>
      </c>
      <c r="E28" s="18">
        <f t="shared" si="2"/>
        <v>0.15</v>
      </c>
      <c r="F28" s="19">
        <v>20</v>
      </c>
      <c r="G28" s="20">
        <v>51.3</v>
      </c>
      <c r="H28" s="20">
        <v>27.2</v>
      </c>
      <c r="I28" s="20">
        <v>50.4</v>
      </c>
      <c r="J28" s="20">
        <v>49.7</v>
      </c>
      <c r="K28" s="20">
        <v>47.55</v>
      </c>
      <c r="L28" s="20">
        <v>50.2</v>
      </c>
      <c r="M28" s="20">
        <v>49.5</v>
      </c>
      <c r="N28" s="20">
        <v>49.75</v>
      </c>
      <c r="O28" s="20">
        <v>50.4</v>
      </c>
      <c r="P28" s="20">
        <v>49.9</v>
      </c>
      <c r="Q28" s="20">
        <v>49.6</v>
      </c>
      <c r="S28" s="21"/>
      <c r="T28" s="21"/>
      <c r="U28" s="21"/>
      <c r="V28" s="21"/>
      <c r="W28" s="21"/>
      <c r="X28" s="21"/>
      <c r="Y28" s="21"/>
    </row>
    <row r="29" spans="1:25" x14ac:dyDescent="0.25">
      <c r="A29" s="16">
        <v>26</v>
      </c>
      <c r="B29" s="16"/>
      <c r="C29" s="17">
        <v>0.25</v>
      </c>
      <c r="D29" s="17">
        <v>0.1</v>
      </c>
      <c r="E29" s="18">
        <f t="shared" si="2"/>
        <v>0.15</v>
      </c>
      <c r="F29" s="19">
        <v>20</v>
      </c>
      <c r="G29" s="20">
        <v>51.3</v>
      </c>
      <c r="H29" s="20">
        <v>27.4</v>
      </c>
      <c r="I29" s="20">
        <v>50.2</v>
      </c>
      <c r="J29" s="20">
        <v>49.7</v>
      </c>
      <c r="K29" s="20">
        <v>47.55</v>
      </c>
      <c r="L29" s="20">
        <v>50.1</v>
      </c>
      <c r="M29" s="20">
        <v>49.5</v>
      </c>
      <c r="N29" s="20">
        <v>49.75</v>
      </c>
      <c r="O29" s="20">
        <v>50.4</v>
      </c>
      <c r="P29" s="20">
        <v>49.9</v>
      </c>
      <c r="Q29" s="20">
        <v>49.6</v>
      </c>
      <c r="S29" s="21"/>
      <c r="T29" s="21"/>
      <c r="U29" s="21"/>
      <c r="V29" s="21"/>
      <c r="W29" s="21"/>
      <c r="X29" s="21"/>
      <c r="Y29" s="21"/>
    </row>
    <row r="30" spans="1:25" x14ac:dyDescent="0.25">
      <c r="A30" s="16">
        <v>27</v>
      </c>
      <c r="B30" s="16"/>
      <c r="C30" s="17">
        <v>0.25</v>
      </c>
      <c r="D30" s="17">
        <v>0.1</v>
      </c>
      <c r="E30" s="18">
        <f t="shared" si="2"/>
        <v>0.15</v>
      </c>
      <c r="F30" s="19">
        <v>20</v>
      </c>
      <c r="G30" s="20">
        <v>51.35</v>
      </c>
      <c r="H30" s="20">
        <v>27.8</v>
      </c>
      <c r="I30" s="20">
        <v>50.4</v>
      </c>
      <c r="J30" s="20">
        <v>49.7</v>
      </c>
      <c r="K30" s="20">
        <v>47.45</v>
      </c>
      <c r="L30" s="20">
        <v>50.1</v>
      </c>
      <c r="M30" s="20">
        <v>49.5</v>
      </c>
      <c r="N30" s="20">
        <v>49.849999999999994</v>
      </c>
      <c r="O30" s="20">
        <v>50.4</v>
      </c>
      <c r="P30" s="20">
        <v>49.9</v>
      </c>
      <c r="Q30" s="20">
        <v>49.6</v>
      </c>
      <c r="S30" s="21"/>
      <c r="T30" s="21"/>
      <c r="U30" s="21"/>
      <c r="V30" s="21"/>
      <c r="W30" s="21"/>
      <c r="X30" s="21"/>
      <c r="Y30" s="21"/>
    </row>
    <row r="31" spans="1:25" x14ac:dyDescent="0.25">
      <c r="A31" s="16">
        <v>28</v>
      </c>
      <c r="B31" s="16"/>
      <c r="C31" s="17">
        <v>0.25</v>
      </c>
      <c r="D31" s="17">
        <v>0.1</v>
      </c>
      <c r="E31" s="18">
        <f t="shared" si="2"/>
        <v>0.15</v>
      </c>
      <c r="F31" s="19">
        <v>20</v>
      </c>
      <c r="G31" s="20">
        <v>51.3</v>
      </c>
      <c r="H31" s="20">
        <v>27.8</v>
      </c>
      <c r="I31" s="20">
        <v>50.2</v>
      </c>
      <c r="J31" s="20">
        <v>49.7</v>
      </c>
      <c r="K31" s="20">
        <v>47.55</v>
      </c>
      <c r="L31" s="20">
        <v>50.2</v>
      </c>
      <c r="M31" s="20">
        <v>49.5</v>
      </c>
      <c r="N31" s="20">
        <v>49.849999999999994</v>
      </c>
      <c r="O31" s="20">
        <v>50.4</v>
      </c>
      <c r="P31" s="20">
        <v>49.9</v>
      </c>
      <c r="Q31" s="20">
        <v>49.6</v>
      </c>
      <c r="S31" s="21"/>
      <c r="T31" s="21"/>
      <c r="U31" s="21"/>
      <c r="V31" s="21"/>
      <c r="W31" s="21"/>
      <c r="X31" s="21"/>
      <c r="Y31" s="21"/>
    </row>
    <row r="32" spans="1:25" x14ac:dyDescent="0.25">
      <c r="A32" s="16">
        <v>29</v>
      </c>
      <c r="B32" s="16"/>
      <c r="C32" s="17">
        <v>0.25</v>
      </c>
      <c r="D32" s="17">
        <v>0.1</v>
      </c>
      <c r="E32" s="18">
        <f t="shared" si="2"/>
        <v>0.15</v>
      </c>
      <c r="F32" s="19">
        <v>20</v>
      </c>
      <c r="G32" s="20">
        <v>51.400000000000006</v>
      </c>
      <c r="H32" s="20">
        <v>27.6</v>
      </c>
      <c r="I32" s="20">
        <v>50.2</v>
      </c>
      <c r="J32" s="20">
        <v>49.7</v>
      </c>
      <c r="K32" s="20">
        <v>47.7</v>
      </c>
      <c r="L32" s="20">
        <v>50.2</v>
      </c>
      <c r="M32" s="20">
        <v>49.5</v>
      </c>
      <c r="N32" s="20">
        <v>49.849999999999994</v>
      </c>
      <c r="O32" s="20">
        <v>50.4</v>
      </c>
      <c r="P32" s="20">
        <v>49.9</v>
      </c>
      <c r="Q32" s="20">
        <v>49.6</v>
      </c>
      <c r="S32" s="21"/>
      <c r="T32" s="21"/>
      <c r="U32" s="21"/>
      <c r="V32" s="21"/>
      <c r="W32" s="21"/>
      <c r="X32" s="21"/>
      <c r="Y32" s="21"/>
    </row>
    <row r="33" spans="1:25" x14ac:dyDescent="0.25">
      <c r="A33" s="16">
        <v>30</v>
      </c>
      <c r="B33" s="16"/>
      <c r="C33" s="17">
        <v>0.25</v>
      </c>
      <c r="D33" s="17">
        <v>0.1</v>
      </c>
      <c r="E33" s="18">
        <f t="shared" si="2"/>
        <v>0.15</v>
      </c>
      <c r="F33" s="19">
        <v>20</v>
      </c>
      <c r="G33" s="20">
        <v>51.2</v>
      </c>
      <c r="H33" s="20">
        <v>27.7</v>
      </c>
      <c r="I33" s="20">
        <v>50.3</v>
      </c>
      <c r="J33" s="20">
        <v>49.6</v>
      </c>
      <c r="K33" s="20">
        <v>47.65</v>
      </c>
      <c r="L33" s="20">
        <v>50.2</v>
      </c>
      <c r="M33" s="20">
        <v>49.6</v>
      </c>
      <c r="N33" s="20">
        <v>49.75</v>
      </c>
      <c r="O33" s="20">
        <v>50.5</v>
      </c>
      <c r="P33" s="20">
        <v>50</v>
      </c>
      <c r="Q33" s="20">
        <v>49.7</v>
      </c>
      <c r="S33" s="21"/>
      <c r="T33" s="21"/>
      <c r="U33" s="21"/>
      <c r="V33" s="21"/>
      <c r="W33" s="21"/>
      <c r="X33" s="21"/>
      <c r="Y33" s="21"/>
    </row>
    <row r="34" spans="1:25" x14ac:dyDescent="0.25">
      <c r="A34" s="16"/>
      <c r="B34" s="16"/>
      <c r="C34" s="16"/>
      <c r="D34" s="16"/>
      <c r="E34" s="16"/>
      <c r="F34" s="19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1"/>
      <c r="S34" s="21"/>
      <c r="T34" s="21"/>
      <c r="U34" s="21"/>
      <c r="V34" s="21"/>
      <c r="W34" s="21"/>
      <c r="X34" s="21"/>
      <c r="Y34" s="21"/>
    </row>
    <row r="35" spans="1:25" x14ac:dyDescent="0.25">
      <c r="A35" s="16">
        <v>31</v>
      </c>
      <c r="B35" s="16" t="s">
        <v>50</v>
      </c>
      <c r="C35" s="17">
        <v>0.16</v>
      </c>
      <c r="D35" s="17">
        <v>9.5000000000000001E-2</v>
      </c>
      <c r="E35" s="18">
        <f t="shared" ref="E35:E44" si="3">C35-D35</f>
        <v>6.5000000000000002E-2</v>
      </c>
      <c r="F35" s="19">
        <v>15</v>
      </c>
      <c r="G35" s="20">
        <v>51.3</v>
      </c>
      <c r="H35" s="20">
        <v>27.7</v>
      </c>
      <c r="I35" s="20">
        <v>50.2</v>
      </c>
      <c r="J35" s="20">
        <v>49.7</v>
      </c>
      <c r="K35" s="20">
        <v>47.55</v>
      </c>
      <c r="L35" s="20">
        <v>50.1</v>
      </c>
      <c r="M35" s="20">
        <v>49.5</v>
      </c>
      <c r="N35" s="20">
        <v>49.849999999999994</v>
      </c>
      <c r="O35" s="20">
        <v>50.4</v>
      </c>
      <c r="P35" s="20">
        <v>49.9</v>
      </c>
      <c r="Q35" s="20">
        <v>49.4</v>
      </c>
      <c r="S35" s="21"/>
      <c r="T35" s="21"/>
      <c r="U35" s="21"/>
      <c r="V35" s="21"/>
      <c r="W35" s="21"/>
      <c r="X35" s="21"/>
      <c r="Y35" s="21"/>
    </row>
    <row r="36" spans="1:25" x14ac:dyDescent="0.25">
      <c r="A36" s="16">
        <v>32</v>
      </c>
      <c r="B36" s="16"/>
      <c r="C36" s="17">
        <v>0.16</v>
      </c>
      <c r="D36" s="17">
        <v>9.5000000000000001E-2</v>
      </c>
      <c r="E36" s="18">
        <f t="shared" si="3"/>
        <v>6.5000000000000002E-2</v>
      </c>
      <c r="F36" s="19">
        <v>15</v>
      </c>
      <c r="G36" s="20">
        <v>51.3</v>
      </c>
      <c r="H36" s="20">
        <v>27.65</v>
      </c>
      <c r="I36" s="20">
        <v>50.2</v>
      </c>
      <c r="J36" s="20">
        <v>49.7</v>
      </c>
      <c r="K36" s="20">
        <v>47.55</v>
      </c>
      <c r="L36" s="20">
        <v>50.1</v>
      </c>
      <c r="M36" s="20">
        <v>49.5</v>
      </c>
      <c r="N36" s="20">
        <v>49.8</v>
      </c>
      <c r="O36" s="20">
        <v>50.4</v>
      </c>
      <c r="P36" s="20">
        <v>49.9</v>
      </c>
      <c r="Q36" s="20">
        <v>49.4</v>
      </c>
      <c r="S36" s="21"/>
      <c r="T36" s="21"/>
      <c r="U36" s="21"/>
      <c r="V36" s="21"/>
      <c r="W36" s="21"/>
      <c r="X36" s="21"/>
      <c r="Y36" s="21"/>
    </row>
    <row r="37" spans="1:25" x14ac:dyDescent="0.25">
      <c r="A37" s="16">
        <v>33</v>
      </c>
      <c r="B37" s="16"/>
      <c r="C37" s="17">
        <v>0.16</v>
      </c>
      <c r="D37" s="17">
        <v>9.5000000000000001E-2</v>
      </c>
      <c r="E37" s="18">
        <f t="shared" si="3"/>
        <v>6.5000000000000002E-2</v>
      </c>
      <c r="F37" s="19">
        <v>15</v>
      </c>
      <c r="G37" s="20">
        <v>51.25</v>
      </c>
      <c r="H37" s="20">
        <v>27.5</v>
      </c>
      <c r="I37" s="20">
        <v>50.2</v>
      </c>
      <c r="J37" s="20">
        <v>49.5</v>
      </c>
      <c r="K37" s="20">
        <v>47.45</v>
      </c>
      <c r="L37" s="20">
        <v>50.1</v>
      </c>
      <c r="M37" s="20">
        <v>49.5</v>
      </c>
      <c r="N37" s="20">
        <v>49.75</v>
      </c>
      <c r="O37" s="20">
        <v>50.2</v>
      </c>
      <c r="P37" s="20">
        <v>49.7</v>
      </c>
      <c r="Q37" s="20">
        <v>49.2</v>
      </c>
      <c r="S37" s="21"/>
      <c r="T37" s="21"/>
      <c r="U37" s="21"/>
      <c r="V37" s="21"/>
      <c r="W37" s="21"/>
      <c r="X37" s="21"/>
      <c r="Y37" s="21"/>
    </row>
    <row r="38" spans="1:25" x14ac:dyDescent="0.25">
      <c r="A38" s="16">
        <v>34</v>
      </c>
      <c r="B38" s="16"/>
      <c r="C38" s="17">
        <v>0.16</v>
      </c>
      <c r="D38" s="17">
        <v>9.5000000000000001E-2</v>
      </c>
      <c r="E38" s="18">
        <f t="shared" si="3"/>
        <v>6.5000000000000002E-2</v>
      </c>
      <c r="F38" s="19">
        <v>15</v>
      </c>
      <c r="G38" s="20">
        <v>51.3</v>
      </c>
      <c r="H38" s="20">
        <v>27.5</v>
      </c>
      <c r="I38" s="20">
        <v>50.2</v>
      </c>
      <c r="J38" s="20">
        <v>49.5</v>
      </c>
      <c r="K38" s="20">
        <v>47.35</v>
      </c>
      <c r="L38" s="20">
        <v>50.1</v>
      </c>
      <c r="M38" s="20">
        <v>49.5</v>
      </c>
      <c r="N38" s="20">
        <v>49.650000000000006</v>
      </c>
      <c r="O38" s="20">
        <v>50.2</v>
      </c>
      <c r="P38" s="20">
        <v>49.7</v>
      </c>
      <c r="Q38" s="20">
        <v>49.3</v>
      </c>
      <c r="S38" s="21"/>
      <c r="T38" s="21"/>
      <c r="U38" s="21"/>
      <c r="V38" s="21"/>
      <c r="W38" s="21"/>
      <c r="X38" s="21"/>
      <c r="Y38" s="21"/>
    </row>
    <row r="39" spans="1:25" x14ac:dyDescent="0.25">
      <c r="A39" s="16">
        <v>35</v>
      </c>
      <c r="B39" s="16"/>
      <c r="C39" s="17">
        <v>0.16</v>
      </c>
      <c r="D39" s="17">
        <v>9.5000000000000001E-2</v>
      </c>
      <c r="E39" s="18">
        <f t="shared" si="3"/>
        <v>6.5000000000000002E-2</v>
      </c>
      <c r="F39" s="19">
        <v>15</v>
      </c>
      <c r="G39" s="20">
        <v>51.3</v>
      </c>
      <c r="H39" s="20">
        <v>27.4</v>
      </c>
      <c r="I39" s="20">
        <v>50.2</v>
      </c>
      <c r="J39" s="20">
        <v>49.7</v>
      </c>
      <c r="K39" s="20">
        <v>47.650000000000006</v>
      </c>
      <c r="L39" s="20">
        <v>50.1</v>
      </c>
      <c r="M39" s="20">
        <v>49.5</v>
      </c>
      <c r="N39" s="20">
        <v>49.849999999999994</v>
      </c>
      <c r="O39" s="20">
        <v>50.4</v>
      </c>
      <c r="P39" s="20">
        <v>49.9</v>
      </c>
      <c r="Q39" s="20">
        <v>49.5</v>
      </c>
      <c r="S39" s="21"/>
      <c r="T39" s="21"/>
      <c r="U39" s="21"/>
      <c r="V39" s="21"/>
      <c r="W39" s="21"/>
      <c r="X39" s="21"/>
      <c r="Y39" s="21"/>
    </row>
    <row r="40" spans="1:25" x14ac:dyDescent="0.25">
      <c r="A40" s="16">
        <v>36</v>
      </c>
      <c r="B40" s="16"/>
      <c r="C40" s="17">
        <v>0.16</v>
      </c>
      <c r="D40" s="17">
        <v>9.5000000000000001E-2</v>
      </c>
      <c r="E40" s="18">
        <f t="shared" si="3"/>
        <v>6.5000000000000002E-2</v>
      </c>
      <c r="F40" s="19">
        <v>15</v>
      </c>
      <c r="G40" s="20">
        <v>51.45</v>
      </c>
      <c r="H40" s="20">
        <v>27.95</v>
      </c>
      <c r="I40" s="20">
        <v>50.2</v>
      </c>
      <c r="J40" s="20">
        <v>49.7</v>
      </c>
      <c r="K40" s="20">
        <v>47.650000000000006</v>
      </c>
      <c r="L40" s="20">
        <v>50.1</v>
      </c>
      <c r="M40" s="20">
        <v>49.5</v>
      </c>
      <c r="N40" s="20">
        <v>49.849999999999994</v>
      </c>
      <c r="O40" s="20">
        <v>50.4</v>
      </c>
      <c r="P40" s="20">
        <v>49.9</v>
      </c>
      <c r="Q40" s="20">
        <v>49.5</v>
      </c>
      <c r="S40" s="21"/>
      <c r="T40" s="21"/>
      <c r="U40" s="21"/>
      <c r="V40" s="21"/>
      <c r="W40" s="21"/>
      <c r="X40" s="21"/>
      <c r="Y40" s="21"/>
    </row>
    <row r="41" spans="1:25" x14ac:dyDescent="0.25">
      <c r="A41" s="16">
        <v>37</v>
      </c>
      <c r="B41" s="16"/>
      <c r="C41" s="17">
        <v>0.16</v>
      </c>
      <c r="D41" s="17">
        <v>9.5000000000000001E-2</v>
      </c>
      <c r="E41" s="18">
        <f t="shared" si="3"/>
        <v>6.5000000000000002E-2</v>
      </c>
      <c r="F41" s="19">
        <v>15</v>
      </c>
      <c r="G41" s="20">
        <v>51.3</v>
      </c>
      <c r="H41" s="20">
        <v>27.8</v>
      </c>
      <c r="I41" s="20">
        <v>50.2</v>
      </c>
      <c r="J41" s="20">
        <v>49.7</v>
      </c>
      <c r="K41" s="20">
        <v>47.55</v>
      </c>
      <c r="L41" s="20">
        <v>50.1</v>
      </c>
      <c r="M41" s="20">
        <v>49.5</v>
      </c>
      <c r="N41" s="20">
        <v>49.849999999999994</v>
      </c>
      <c r="O41" s="20">
        <v>50.4</v>
      </c>
      <c r="P41" s="20">
        <v>49.9</v>
      </c>
      <c r="Q41" s="20">
        <v>49.4</v>
      </c>
      <c r="S41" s="21"/>
      <c r="T41" s="21"/>
      <c r="U41" s="21"/>
      <c r="V41" s="21"/>
      <c r="W41" s="21"/>
      <c r="X41" s="21"/>
      <c r="Y41" s="21"/>
    </row>
    <row r="42" spans="1:25" x14ac:dyDescent="0.25">
      <c r="A42" s="16">
        <v>38</v>
      </c>
      <c r="B42" s="16"/>
      <c r="C42" s="17">
        <v>0.16</v>
      </c>
      <c r="D42" s="17">
        <v>9.5000000000000001E-2</v>
      </c>
      <c r="E42" s="18">
        <f t="shared" si="3"/>
        <v>6.5000000000000002E-2</v>
      </c>
      <c r="F42" s="19">
        <v>15</v>
      </c>
      <c r="G42" s="20">
        <v>51.3</v>
      </c>
      <c r="H42" s="20">
        <v>27.6</v>
      </c>
      <c r="I42" s="20">
        <v>50.2</v>
      </c>
      <c r="J42" s="20">
        <v>49.7</v>
      </c>
      <c r="K42" s="20">
        <v>47.55</v>
      </c>
      <c r="L42" s="20">
        <v>50.1</v>
      </c>
      <c r="M42" s="20">
        <v>49.5</v>
      </c>
      <c r="N42" s="20">
        <v>49.75</v>
      </c>
      <c r="O42" s="20">
        <v>50.4</v>
      </c>
      <c r="P42" s="20">
        <v>49.9</v>
      </c>
      <c r="Q42" s="20">
        <v>49.4</v>
      </c>
      <c r="S42" s="21"/>
      <c r="T42" s="21"/>
      <c r="U42" s="21"/>
      <c r="V42" s="21"/>
      <c r="W42" s="21"/>
      <c r="X42" s="21"/>
      <c r="Y42" s="21"/>
    </row>
    <row r="43" spans="1:25" x14ac:dyDescent="0.25">
      <c r="A43" s="16">
        <v>39</v>
      </c>
      <c r="B43" s="16"/>
      <c r="C43" s="17">
        <v>0.16</v>
      </c>
      <c r="D43" s="17">
        <v>9.5000000000000001E-2</v>
      </c>
      <c r="E43" s="18">
        <f t="shared" si="3"/>
        <v>6.5000000000000002E-2</v>
      </c>
      <c r="F43" s="19">
        <v>15</v>
      </c>
      <c r="G43" s="20">
        <v>51.2</v>
      </c>
      <c r="H43" s="20">
        <v>28.2</v>
      </c>
      <c r="I43" s="20">
        <v>50.2</v>
      </c>
      <c r="J43" s="20">
        <v>49.7</v>
      </c>
      <c r="K43" s="20">
        <v>47.55</v>
      </c>
      <c r="L43" s="20">
        <v>50.1</v>
      </c>
      <c r="M43" s="20">
        <v>49.5</v>
      </c>
      <c r="N43" s="20">
        <v>49.75</v>
      </c>
      <c r="O43" s="20">
        <v>50.4</v>
      </c>
      <c r="P43" s="20">
        <v>49.9</v>
      </c>
      <c r="Q43" s="20">
        <v>49.4</v>
      </c>
      <c r="S43" s="21"/>
      <c r="T43" s="21"/>
      <c r="U43" s="21"/>
      <c r="V43" s="21"/>
      <c r="W43" s="21"/>
      <c r="X43" s="21"/>
      <c r="Y43" s="21"/>
    </row>
    <row r="44" spans="1:25" x14ac:dyDescent="0.25">
      <c r="A44" s="16">
        <v>40</v>
      </c>
      <c r="B44" s="16"/>
      <c r="C44" s="17">
        <v>0.16</v>
      </c>
      <c r="D44" s="17">
        <v>9.5000000000000001E-2</v>
      </c>
      <c r="E44" s="18">
        <f t="shared" si="3"/>
        <v>6.5000000000000002E-2</v>
      </c>
      <c r="F44" s="19">
        <v>15</v>
      </c>
      <c r="G44" s="20">
        <v>51.4</v>
      </c>
      <c r="H44" s="20">
        <v>28.549999999999997</v>
      </c>
      <c r="I44" s="20">
        <v>50.3</v>
      </c>
      <c r="J44" s="20">
        <v>49.8</v>
      </c>
      <c r="K44" s="20">
        <v>47.65</v>
      </c>
      <c r="L44" s="20">
        <v>50.2</v>
      </c>
      <c r="M44" s="20">
        <v>49.6</v>
      </c>
      <c r="N44" s="20">
        <v>49.849999999999994</v>
      </c>
      <c r="O44" s="20">
        <v>50.5</v>
      </c>
      <c r="P44" s="20">
        <v>50</v>
      </c>
      <c r="Q44" s="20">
        <v>49.5</v>
      </c>
      <c r="S44" s="21"/>
      <c r="T44" s="21"/>
      <c r="U44" s="21"/>
      <c r="V44" s="21"/>
      <c r="W44" s="21"/>
      <c r="X44" s="21"/>
      <c r="Y44" s="21"/>
    </row>
    <row r="45" spans="1:25" x14ac:dyDescent="0.25">
      <c r="A45" s="16"/>
      <c r="B45" s="16"/>
      <c r="C45" s="16"/>
      <c r="D45" s="16"/>
      <c r="E45" s="16"/>
      <c r="F45" s="19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21"/>
      <c r="S45" s="21"/>
      <c r="T45" s="21"/>
      <c r="U45" s="21"/>
      <c r="V45" s="21"/>
      <c r="W45" s="21"/>
      <c r="X45" s="21"/>
      <c r="Y45" s="21"/>
    </row>
    <row r="46" spans="1:25" x14ac:dyDescent="0.25">
      <c r="A46" s="16">
        <v>41</v>
      </c>
      <c r="B46" s="16" t="s">
        <v>51</v>
      </c>
      <c r="C46" s="17">
        <v>0.10500000000000001</v>
      </c>
      <c r="D46" s="17">
        <v>7.4999999999999997E-2</v>
      </c>
      <c r="E46" s="18">
        <f t="shared" ref="E46:E55" si="4">C46-D46</f>
        <v>3.0000000000000013E-2</v>
      </c>
      <c r="F46" s="19">
        <v>10</v>
      </c>
      <c r="G46" s="20">
        <v>51.5</v>
      </c>
      <c r="H46" s="20">
        <v>27.3</v>
      </c>
      <c r="I46" s="20">
        <v>50.2</v>
      </c>
      <c r="J46" s="20">
        <v>49.6</v>
      </c>
      <c r="K46" s="20">
        <v>47.65</v>
      </c>
      <c r="L46" s="20">
        <v>49.8</v>
      </c>
      <c r="M46" s="20">
        <v>49.6</v>
      </c>
      <c r="N46" s="20">
        <v>49.7</v>
      </c>
      <c r="O46" s="20">
        <v>50.2</v>
      </c>
      <c r="P46" s="20">
        <v>49.8</v>
      </c>
      <c r="Q46" s="20">
        <v>49.5</v>
      </c>
      <c r="S46" s="21"/>
      <c r="T46" s="21"/>
      <c r="U46" s="21"/>
      <c r="V46" s="21"/>
      <c r="W46" s="21"/>
      <c r="X46" s="21"/>
      <c r="Y46" s="21"/>
    </row>
    <row r="47" spans="1:25" x14ac:dyDescent="0.25">
      <c r="A47" s="16">
        <v>42</v>
      </c>
      <c r="B47" s="16"/>
      <c r="C47" s="17">
        <v>0.10500000000000001</v>
      </c>
      <c r="D47" s="17">
        <v>7.4999999999999997E-2</v>
      </c>
      <c r="E47" s="18">
        <f t="shared" si="4"/>
        <v>3.0000000000000013E-2</v>
      </c>
      <c r="F47" s="19">
        <v>10</v>
      </c>
      <c r="G47" s="20">
        <v>51.4</v>
      </c>
      <c r="H47" s="20">
        <v>27.4</v>
      </c>
      <c r="I47" s="20">
        <v>50</v>
      </c>
      <c r="J47" s="20">
        <v>49.6</v>
      </c>
      <c r="K47" s="20">
        <v>47.65</v>
      </c>
      <c r="L47" s="20">
        <v>49.8</v>
      </c>
      <c r="M47" s="20">
        <v>49.4</v>
      </c>
      <c r="N47" s="20">
        <v>49.7</v>
      </c>
      <c r="O47" s="20">
        <v>50.2</v>
      </c>
      <c r="P47" s="20">
        <v>49.6</v>
      </c>
      <c r="Q47" s="20">
        <v>49.5</v>
      </c>
      <c r="S47" s="21"/>
      <c r="T47" s="21"/>
      <c r="U47" s="21"/>
      <c r="V47" s="21"/>
      <c r="W47" s="21"/>
      <c r="X47" s="21"/>
      <c r="Y47" s="21"/>
    </row>
    <row r="48" spans="1:25" x14ac:dyDescent="0.25">
      <c r="A48" s="16">
        <v>43</v>
      </c>
      <c r="B48" s="16"/>
      <c r="C48" s="17">
        <v>0.10500000000000001</v>
      </c>
      <c r="D48" s="17">
        <v>7.4999999999999997E-2</v>
      </c>
      <c r="E48" s="18">
        <f t="shared" si="4"/>
        <v>3.0000000000000013E-2</v>
      </c>
      <c r="F48" s="19">
        <v>10</v>
      </c>
      <c r="G48" s="20">
        <v>51.4</v>
      </c>
      <c r="H48" s="20">
        <v>27.4</v>
      </c>
      <c r="I48" s="20">
        <v>50</v>
      </c>
      <c r="J48" s="20">
        <v>49.6</v>
      </c>
      <c r="K48" s="20">
        <v>47.65</v>
      </c>
      <c r="L48" s="20">
        <v>49.8</v>
      </c>
      <c r="M48" s="20">
        <v>49.4</v>
      </c>
      <c r="N48" s="20">
        <v>49.7</v>
      </c>
      <c r="O48" s="20">
        <v>50.2</v>
      </c>
      <c r="P48" s="20">
        <v>49.8</v>
      </c>
      <c r="Q48" s="20">
        <v>49.5</v>
      </c>
      <c r="S48" s="21"/>
      <c r="T48" s="21"/>
      <c r="U48" s="21"/>
      <c r="V48" s="21"/>
      <c r="W48" s="21"/>
      <c r="X48" s="21"/>
      <c r="Y48" s="21"/>
    </row>
    <row r="49" spans="1:25" x14ac:dyDescent="0.25">
      <c r="A49" s="16">
        <v>44</v>
      </c>
      <c r="B49" s="16"/>
      <c r="C49" s="17">
        <v>0.10500000000000001</v>
      </c>
      <c r="D49" s="17">
        <v>7.4999999999999997E-2</v>
      </c>
      <c r="E49" s="18">
        <f t="shared" si="4"/>
        <v>3.0000000000000013E-2</v>
      </c>
      <c r="F49" s="19">
        <v>10</v>
      </c>
      <c r="G49" s="20">
        <v>51.4</v>
      </c>
      <c r="H49" s="20">
        <v>27.3</v>
      </c>
      <c r="I49" s="20">
        <v>50.2</v>
      </c>
      <c r="J49" s="20">
        <v>49.6</v>
      </c>
      <c r="K49" s="20">
        <v>47.55</v>
      </c>
      <c r="L49" s="20">
        <v>49.8</v>
      </c>
      <c r="M49" s="20">
        <v>49.4</v>
      </c>
      <c r="N49" s="20">
        <v>49.7</v>
      </c>
      <c r="O49" s="20">
        <v>50.2</v>
      </c>
      <c r="P49" s="20">
        <v>49.8</v>
      </c>
      <c r="Q49" s="20">
        <v>49.5</v>
      </c>
      <c r="S49" s="21"/>
      <c r="T49" s="21"/>
      <c r="U49" s="21"/>
      <c r="V49" s="21"/>
      <c r="W49" s="21"/>
      <c r="X49" s="21"/>
      <c r="Y49" s="21"/>
    </row>
    <row r="50" spans="1:25" x14ac:dyDescent="0.25">
      <c r="A50" s="16">
        <v>45</v>
      </c>
      <c r="B50" s="16"/>
      <c r="C50" s="17">
        <v>0.10500000000000001</v>
      </c>
      <c r="D50" s="17">
        <v>7.4999999999999997E-2</v>
      </c>
      <c r="E50" s="18">
        <f t="shared" si="4"/>
        <v>3.0000000000000013E-2</v>
      </c>
      <c r="F50" s="19">
        <v>10</v>
      </c>
      <c r="G50" s="20">
        <v>51.4</v>
      </c>
      <c r="H50" s="20">
        <v>27.4</v>
      </c>
      <c r="I50" s="20">
        <v>50</v>
      </c>
      <c r="J50" s="20">
        <v>49.6</v>
      </c>
      <c r="K50" s="20">
        <v>47.55</v>
      </c>
      <c r="L50" s="20">
        <v>49.8</v>
      </c>
      <c r="M50" s="20">
        <v>49.4</v>
      </c>
      <c r="N50" s="20">
        <v>49.6</v>
      </c>
      <c r="O50" s="20">
        <v>50.2</v>
      </c>
      <c r="P50" s="20">
        <v>49.8</v>
      </c>
      <c r="Q50" s="20">
        <v>49.5</v>
      </c>
      <c r="S50" s="21"/>
      <c r="T50" s="21"/>
      <c r="U50" s="21"/>
      <c r="V50" s="21"/>
      <c r="W50" s="21"/>
      <c r="X50" s="21"/>
      <c r="Y50" s="21"/>
    </row>
    <row r="51" spans="1:25" x14ac:dyDescent="0.25">
      <c r="A51" s="16">
        <v>46</v>
      </c>
      <c r="B51" s="16"/>
      <c r="C51" s="17">
        <v>0.10500000000000001</v>
      </c>
      <c r="D51" s="17">
        <v>7.4999999999999997E-2</v>
      </c>
      <c r="E51" s="18">
        <f t="shared" si="4"/>
        <v>3.0000000000000013E-2</v>
      </c>
      <c r="F51" s="19">
        <v>10</v>
      </c>
      <c r="G51" s="20">
        <v>51.4</v>
      </c>
      <c r="H51" s="20">
        <v>27.3</v>
      </c>
      <c r="I51" s="20">
        <v>50</v>
      </c>
      <c r="J51" s="20">
        <v>49.4</v>
      </c>
      <c r="K51" s="20">
        <v>47.55</v>
      </c>
      <c r="L51" s="20">
        <v>49.8</v>
      </c>
      <c r="M51" s="20">
        <v>49.4</v>
      </c>
      <c r="N51" s="20">
        <v>49.7</v>
      </c>
      <c r="O51" s="20">
        <v>50.2</v>
      </c>
      <c r="P51" s="20">
        <v>49.7</v>
      </c>
      <c r="Q51" s="20">
        <v>49.5</v>
      </c>
      <c r="S51" s="21"/>
      <c r="T51" s="21"/>
      <c r="U51" s="21"/>
      <c r="V51" s="21"/>
      <c r="W51" s="21"/>
      <c r="X51" s="21"/>
      <c r="Y51" s="21"/>
    </row>
    <row r="52" spans="1:25" x14ac:dyDescent="0.25">
      <c r="A52" s="16">
        <v>47</v>
      </c>
      <c r="B52" s="16"/>
      <c r="C52" s="17">
        <v>0.10500000000000001</v>
      </c>
      <c r="D52" s="17">
        <v>7.4999999999999997E-2</v>
      </c>
      <c r="E52" s="18">
        <f t="shared" si="4"/>
        <v>3.0000000000000013E-2</v>
      </c>
      <c r="F52" s="19">
        <v>10</v>
      </c>
      <c r="G52" s="20">
        <v>51.3</v>
      </c>
      <c r="H52" s="20">
        <v>27.2</v>
      </c>
      <c r="I52" s="20">
        <v>49.9</v>
      </c>
      <c r="J52" s="20">
        <v>49.5</v>
      </c>
      <c r="K52" s="20">
        <v>47.45</v>
      </c>
      <c r="L52" s="20">
        <v>49.7</v>
      </c>
      <c r="M52" s="20">
        <v>49.3</v>
      </c>
      <c r="N52" s="20">
        <v>49.4</v>
      </c>
      <c r="O52" s="20">
        <v>50.1</v>
      </c>
      <c r="P52" s="20">
        <v>49.5</v>
      </c>
      <c r="Q52" s="20">
        <v>49.3</v>
      </c>
      <c r="S52" s="21"/>
      <c r="T52" s="21"/>
      <c r="U52" s="21"/>
      <c r="V52" s="21"/>
      <c r="W52" s="21"/>
      <c r="X52" s="21"/>
      <c r="Y52" s="21"/>
    </row>
    <row r="53" spans="1:25" x14ac:dyDescent="0.25">
      <c r="A53" s="16">
        <v>48</v>
      </c>
      <c r="B53" s="16"/>
      <c r="C53" s="17">
        <v>0.10500000000000001</v>
      </c>
      <c r="D53" s="17">
        <v>7.4999999999999997E-2</v>
      </c>
      <c r="E53" s="18">
        <f t="shared" si="4"/>
        <v>3.0000000000000013E-2</v>
      </c>
      <c r="F53" s="19">
        <v>10</v>
      </c>
      <c r="G53" s="20">
        <v>51.3</v>
      </c>
      <c r="H53" s="20">
        <v>27.3</v>
      </c>
      <c r="I53" s="20">
        <v>50</v>
      </c>
      <c r="J53" s="20">
        <v>49.6</v>
      </c>
      <c r="K53" s="20">
        <v>47.45</v>
      </c>
      <c r="L53" s="20">
        <v>49.8</v>
      </c>
      <c r="M53" s="20">
        <v>49.4</v>
      </c>
      <c r="N53" s="20">
        <v>49.7</v>
      </c>
      <c r="O53" s="20">
        <v>50.2</v>
      </c>
      <c r="P53" s="20">
        <v>49.6</v>
      </c>
      <c r="Q53" s="20">
        <v>49.4</v>
      </c>
      <c r="S53" s="21"/>
      <c r="T53" s="21"/>
      <c r="U53" s="21"/>
      <c r="V53" s="21"/>
      <c r="W53" s="21"/>
      <c r="X53" s="21"/>
      <c r="Y53" s="21"/>
    </row>
    <row r="54" spans="1:25" x14ac:dyDescent="0.25">
      <c r="A54" s="16">
        <v>49</v>
      </c>
      <c r="B54" s="16"/>
      <c r="C54" s="17">
        <v>0.10500000000000001</v>
      </c>
      <c r="D54" s="17">
        <v>7.4999999999999997E-2</v>
      </c>
      <c r="E54" s="18">
        <f t="shared" si="4"/>
        <v>3.0000000000000013E-2</v>
      </c>
      <c r="F54" s="19">
        <v>10</v>
      </c>
      <c r="G54" s="20">
        <v>51.4</v>
      </c>
      <c r="H54" s="20">
        <v>27.3</v>
      </c>
      <c r="I54" s="20">
        <v>50</v>
      </c>
      <c r="J54" s="20">
        <v>49.6</v>
      </c>
      <c r="K54" s="20">
        <v>47.55</v>
      </c>
      <c r="L54" s="20">
        <v>49.8</v>
      </c>
      <c r="M54" s="20">
        <v>49.4</v>
      </c>
      <c r="N54" s="20">
        <v>49.7</v>
      </c>
      <c r="O54" s="20">
        <v>50.2</v>
      </c>
      <c r="P54" s="20">
        <v>49.8</v>
      </c>
      <c r="Q54" s="20">
        <v>49.4</v>
      </c>
      <c r="S54" s="21"/>
      <c r="T54" s="21"/>
      <c r="U54" s="21"/>
      <c r="V54" s="21"/>
      <c r="W54" s="21"/>
      <c r="X54" s="21"/>
      <c r="Y54" s="21"/>
    </row>
    <row r="55" spans="1:25" x14ac:dyDescent="0.25">
      <c r="A55" s="16">
        <v>50</v>
      </c>
      <c r="B55" s="16"/>
      <c r="C55" s="17">
        <v>0.10500000000000001</v>
      </c>
      <c r="D55" s="17">
        <v>7.4999999999999997E-2</v>
      </c>
      <c r="E55" s="18">
        <f t="shared" si="4"/>
        <v>3.0000000000000013E-2</v>
      </c>
      <c r="F55" s="19">
        <v>10</v>
      </c>
      <c r="G55" s="20">
        <v>51.349999999999994</v>
      </c>
      <c r="H55" s="20">
        <v>27.200000000000003</v>
      </c>
      <c r="I55" s="20">
        <v>50</v>
      </c>
      <c r="J55" s="20">
        <v>49.6</v>
      </c>
      <c r="K55" s="20">
        <v>47.45</v>
      </c>
      <c r="L55" s="20">
        <v>49.8</v>
      </c>
      <c r="M55" s="20">
        <v>49.4</v>
      </c>
      <c r="N55" s="20">
        <v>49.7</v>
      </c>
      <c r="O55" s="20">
        <v>50.2</v>
      </c>
      <c r="P55" s="20">
        <v>49.8</v>
      </c>
      <c r="Q55" s="20">
        <v>49.5</v>
      </c>
      <c r="S55" s="21"/>
      <c r="T55" s="21"/>
      <c r="U55" s="21"/>
      <c r="V55" s="21"/>
      <c r="W55" s="21"/>
      <c r="X55" s="21"/>
      <c r="Y55" s="21"/>
    </row>
    <row r="56" spans="1:25" x14ac:dyDescent="0.25">
      <c r="A56" s="16"/>
      <c r="B56" s="16"/>
      <c r="C56" s="16"/>
      <c r="D56" s="16"/>
      <c r="E56" s="16"/>
      <c r="F56" s="19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21"/>
      <c r="S56" s="21"/>
      <c r="T56" s="21"/>
      <c r="U56" s="21"/>
      <c r="V56" s="21"/>
      <c r="W56" s="21"/>
      <c r="X56" s="21"/>
      <c r="Y56" s="21"/>
    </row>
    <row r="57" spans="1:25" x14ac:dyDescent="0.25">
      <c r="A57" s="16">
        <v>51</v>
      </c>
      <c r="B57" s="16" t="s">
        <v>52</v>
      </c>
      <c r="C57" s="17">
        <v>0.12</v>
      </c>
      <c r="D57" s="17">
        <v>0.1</v>
      </c>
      <c r="E57" s="18">
        <f t="shared" ref="E57:E66" si="5">C57-D57</f>
        <v>1.999999999999999E-2</v>
      </c>
      <c r="F57" s="19">
        <v>5</v>
      </c>
      <c r="G57" s="20">
        <v>51.45</v>
      </c>
      <c r="H57" s="20">
        <v>27.5</v>
      </c>
      <c r="I57" s="20">
        <v>50.1</v>
      </c>
      <c r="J57" s="20">
        <v>49.7</v>
      </c>
      <c r="K57" s="20">
        <v>47.55</v>
      </c>
      <c r="L57" s="20">
        <v>49.7</v>
      </c>
      <c r="M57" s="20">
        <v>49.5</v>
      </c>
      <c r="N57" s="20">
        <v>49.55</v>
      </c>
      <c r="O57" s="20">
        <v>49.7</v>
      </c>
      <c r="P57" s="20">
        <v>49.7</v>
      </c>
      <c r="Q57" s="20">
        <v>49.2</v>
      </c>
      <c r="R57" s="21"/>
      <c r="S57" s="21"/>
      <c r="T57" s="21"/>
      <c r="U57" s="21"/>
      <c r="V57" s="21"/>
      <c r="W57" s="21"/>
      <c r="X57" s="21"/>
      <c r="Y57" s="21"/>
    </row>
    <row r="58" spans="1:25" x14ac:dyDescent="0.25">
      <c r="A58" s="16">
        <v>52</v>
      </c>
      <c r="B58" s="16"/>
      <c r="C58" s="17">
        <v>0.12</v>
      </c>
      <c r="D58" s="17">
        <v>0.1</v>
      </c>
      <c r="E58" s="18">
        <f t="shared" si="5"/>
        <v>1.999999999999999E-2</v>
      </c>
      <c r="F58" s="19">
        <v>5</v>
      </c>
      <c r="G58" s="20">
        <v>51.400000000000006</v>
      </c>
      <c r="H58" s="20">
        <v>27.4</v>
      </c>
      <c r="I58" s="20">
        <v>50.1</v>
      </c>
      <c r="J58" s="20">
        <v>49.7</v>
      </c>
      <c r="K58" s="20">
        <v>47.45</v>
      </c>
      <c r="L58" s="20">
        <v>49.7</v>
      </c>
      <c r="M58" s="20">
        <v>49.3</v>
      </c>
      <c r="N58" s="20">
        <v>49.55</v>
      </c>
      <c r="O58" s="20">
        <v>49.7</v>
      </c>
      <c r="P58" s="20">
        <v>49.7</v>
      </c>
      <c r="Q58" s="20">
        <v>49.3</v>
      </c>
      <c r="R58" s="21"/>
      <c r="S58" s="21"/>
      <c r="T58" s="21"/>
      <c r="U58" s="21"/>
      <c r="V58" s="21"/>
      <c r="W58" s="21"/>
      <c r="X58" s="21"/>
      <c r="Y58" s="21"/>
    </row>
    <row r="59" spans="1:25" x14ac:dyDescent="0.25">
      <c r="A59" s="16">
        <v>53</v>
      </c>
      <c r="B59" s="16"/>
      <c r="C59" s="17">
        <v>0.12</v>
      </c>
      <c r="D59" s="17">
        <v>0.1</v>
      </c>
      <c r="E59" s="18">
        <f t="shared" si="5"/>
        <v>1.999999999999999E-2</v>
      </c>
      <c r="F59" s="19">
        <v>5</v>
      </c>
      <c r="G59" s="20">
        <v>51.45</v>
      </c>
      <c r="H59" s="20">
        <v>27.3</v>
      </c>
      <c r="I59" s="20">
        <v>50</v>
      </c>
      <c r="J59" s="20">
        <v>49.4</v>
      </c>
      <c r="K59" s="20">
        <v>47.25</v>
      </c>
      <c r="L59" s="20">
        <v>49.6</v>
      </c>
      <c r="M59" s="20">
        <v>49.2</v>
      </c>
      <c r="N59" s="20">
        <v>49.349999999999994</v>
      </c>
      <c r="O59" s="20">
        <v>49.6</v>
      </c>
      <c r="P59" s="20">
        <v>49.6</v>
      </c>
      <c r="Q59" s="20">
        <v>49.1</v>
      </c>
      <c r="R59" s="21"/>
      <c r="S59" s="21"/>
      <c r="T59" s="21"/>
      <c r="U59" s="21"/>
      <c r="V59" s="21"/>
      <c r="W59" s="21"/>
      <c r="X59" s="21"/>
      <c r="Y59" s="21"/>
    </row>
    <row r="60" spans="1:25" x14ac:dyDescent="0.25">
      <c r="A60" s="16">
        <v>54</v>
      </c>
      <c r="B60" s="16"/>
      <c r="C60" s="17">
        <v>0.12</v>
      </c>
      <c r="D60" s="17">
        <v>0.1</v>
      </c>
      <c r="E60" s="18">
        <f t="shared" si="5"/>
        <v>1.999999999999999E-2</v>
      </c>
      <c r="F60" s="19">
        <v>5</v>
      </c>
      <c r="G60" s="20">
        <v>51.3</v>
      </c>
      <c r="H60" s="20">
        <v>27.200000000000003</v>
      </c>
      <c r="I60" s="20">
        <v>50</v>
      </c>
      <c r="J60" s="20">
        <v>49.4</v>
      </c>
      <c r="K60" s="20">
        <v>47.35</v>
      </c>
      <c r="L60" s="20">
        <v>49.6</v>
      </c>
      <c r="M60" s="20">
        <v>49.2</v>
      </c>
      <c r="N60" s="20">
        <v>49.349999999999994</v>
      </c>
      <c r="O60" s="20">
        <v>49.6</v>
      </c>
      <c r="P60" s="20">
        <v>49.6</v>
      </c>
      <c r="Q60" s="20">
        <v>49.1</v>
      </c>
      <c r="R60" s="21"/>
      <c r="S60" s="21"/>
      <c r="T60" s="21"/>
      <c r="U60" s="21"/>
      <c r="V60" s="21"/>
      <c r="W60" s="21"/>
      <c r="X60" s="21"/>
      <c r="Y60" s="21"/>
    </row>
    <row r="61" spans="1:25" x14ac:dyDescent="0.25">
      <c r="A61" s="16">
        <v>55</v>
      </c>
      <c r="B61" s="16"/>
      <c r="C61" s="17">
        <v>0.12</v>
      </c>
      <c r="D61" s="17">
        <v>0.1</v>
      </c>
      <c r="E61" s="18">
        <f t="shared" si="5"/>
        <v>1.999999999999999E-2</v>
      </c>
      <c r="F61" s="19">
        <v>5</v>
      </c>
      <c r="G61" s="20">
        <v>51.35</v>
      </c>
      <c r="H61" s="20">
        <v>27.3</v>
      </c>
      <c r="I61" s="20">
        <v>50</v>
      </c>
      <c r="J61" s="20">
        <v>49.4</v>
      </c>
      <c r="K61" s="20">
        <v>47.35</v>
      </c>
      <c r="L61" s="20">
        <v>49.4</v>
      </c>
      <c r="M61" s="20">
        <v>49.2</v>
      </c>
      <c r="N61" s="20">
        <v>49.349999999999994</v>
      </c>
      <c r="O61" s="20">
        <v>49.6</v>
      </c>
      <c r="P61" s="20">
        <v>49.6</v>
      </c>
      <c r="Q61" s="20">
        <v>49.1</v>
      </c>
      <c r="R61" s="21"/>
      <c r="S61" s="21"/>
      <c r="T61" s="21"/>
      <c r="U61" s="21"/>
      <c r="V61" s="21"/>
      <c r="W61" s="21"/>
      <c r="X61" s="21"/>
      <c r="Y61" s="21"/>
    </row>
    <row r="62" spans="1:25" x14ac:dyDescent="0.25">
      <c r="A62" s="16">
        <v>56</v>
      </c>
      <c r="B62" s="16"/>
      <c r="C62" s="17">
        <v>0.12</v>
      </c>
      <c r="D62" s="17">
        <v>0.1</v>
      </c>
      <c r="E62" s="18">
        <f t="shared" si="5"/>
        <v>1.999999999999999E-2</v>
      </c>
      <c r="F62" s="19">
        <v>5</v>
      </c>
      <c r="G62" s="20">
        <v>51.45</v>
      </c>
      <c r="H62" s="20">
        <v>27.4</v>
      </c>
      <c r="I62" s="20">
        <v>50</v>
      </c>
      <c r="J62" s="20">
        <v>49.4</v>
      </c>
      <c r="K62" s="20">
        <v>47.25</v>
      </c>
      <c r="L62" s="20">
        <v>49.4</v>
      </c>
      <c r="M62" s="20">
        <v>49.2</v>
      </c>
      <c r="N62" s="20">
        <v>49.349999999999994</v>
      </c>
      <c r="O62" s="20">
        <v>49.6</v>
      </c>
      <c r="P62" s="20">
        <v>49.6</v>
      </c>
      <c r="Q62" s="20">
        <v>49.1</v>
      </c>
      <c r="R62" s="21"/>
      <c r="S62" s="21"/>
      <c r="T62" s="21"/>
      <c r="U62" s="21"/>
      <c r="V62" s="21"/>
      <c r="W62" s="21"/>
      <c r="X62" s="21"/>
      <c r="Y62" s="21"/>
    </row>
    <row r="63" spans="1:25" x14ac:dyDescent="0.25">
      <c r="A63" s="16">
        <v>57</v>
      </c>
      <c r="B63" s="16"/>
      <c r="C63" s="17">
        <v>0.12</v>
      </c>
      <c r="D63" s="17">
        <v>0.1</v>
      </c>
      <c r="E63" s="18">
        <f t="shared" si="5"/>
        <v>1.999999999999999E-2</v>
      </c>
      <c r="F63" s="19">
        <v>5</v>
      </c>
      <c r="G63" s="20">
        <v>51.3</v>
      </c>
      <c r="H63" s="20">
        <v>27.4</v>
      </c>
      <c r="I63" s="20">
        <v>50</v>
      </c>
      <c r="J63" s="20">
        <v>49.6</v>
      </c>
      <c r="K63" s="20">
        <v>47.25</v>
      </c>
      <c r="L63" s="20">
        <v>49.6</v>
      </c>
      <c r="M63" s="20">
        <v>49.4</v>
      </c>
      <c r="N63" s="20">
        <v>49.349999999999994</v>
      </c>
      <c r="O63" s="20">
        <v>49.6</v>
      </c>
      <c r="P63" s="20">
        <v>49.6</v>
      </c>
      <c r="Q63" s="20">
        <v>49.1</v>
      </c>
      <c r="R63" s="21"/>
      <c r="S63" s="21"/>
      <c r="T63" s="21"/>
      <c r="U63" s="21"/>
      <c r="V63" s="21"/>
      <c r="W63" s="21"/>
      <c r="X63" s="21"/>
      <c r="Y63" s="21"/>
    </row>
    <row r="64" spans="1:25" x14ac:dyDescent="0.25">
      <c r="A64" s="16">
        <v>58</v>
      </c>
      <c r="B64" s="16"/>
      <c r="C64" s="17">
        <v>0.12</v>
      </c>
      <c r="D64" s="17">
        <v>0.1</v>
      </c>
      <c r="E64" s="18">
        <f t="shared" si="5"/>
        <v>1.999999999999999E-2</v>
      </c>
      <c r="F64" s="19">
        <v>5</v>
      </c>
      <c r="G64" s="20">
        <v>51.400000000000006</v>
      </c>
      <c r="H64" s="20">
        <v>27.5</v>
      </c>
      <c r="I64" s="20">
        <v>49.9</v>
      </c>
      <c r="J64" s="20">
        <v>49.7</v>
      </c>
      <c r="K64" s="20">
        <v>47.45</v>
      </c>
      <c r="L64" s="20">
        <v>49.7</v>
      </c>
      <c r="M64" s="20">
        <v>49.5</v>
      </c>
      <c r="N64" s="20">
        <v>49.45</v>
      </c>
      <c r="O64" s="20">
        <v>49.7</v>
      </c>
      <c r="P64" s="20">
        <v>49.7</v>
      </c>
      <c r="Q64" s="20">
        <v>49.2</v>
      </c>
      <c r="R64" s="21"/>
      <c r="S64" s="21"/>
      <c r="T64" s="21"/>
      <c r="U64" s="21"/>
      <c r="V64" s="21"/>
      <c r="W64" s="21"/>
      <c r="X64" s="21"/>
      <c r="Y64" s="21"/>
    </row>
    <row r="65" spans="1:25" x14ac:dyDescent="0.25">
      <c r="A65" s="16">
        <v>59</v>
      </c>
      <c r="B65" s="16"/>
      <c r="C65" s="17">
        <v>0.12</v>
      </c>
      <c r="D65" s="17">
        <v>0.1</v>
      </c>
      <c r="E65" s="18">
        <f t="shared" si="5"/>
        <v>1.999999999999999E-2</v>
      </c>
      <c r="F65" s="19">
        <v>5</v>
      </c>
      <c r="G65" s="20">
        <v>51.45</v>
      </c>
      <c r="H65" s="20">
        <v>27.5</v>
      </c>
      <c r="I65" s="20">
        <v>50.1</v>
      </c>
      <c r="J65" s="20">
        <v>49.7</v>
      </c>
      <c r="K65" s="20">
        <v>47.45</v>
      </c>
      <c r="L65" s="20">
        <v>49.7</v>
      </c>
      <c r="M65" s="20">
        <v>49.5</v>
      </c>
      <c r="N65" s="20">
        <v>49.45</v>
      </c>
      <c r="O65" s="20">
        <v>49.7</v>
      </c>
      <c r="P65" s="20">
        <v>49.7</v>
      </c>
      <c r="Q65" s="20">
        <v>49.2</v>
      </c>
      <c r="R65" s="21"/>
      <c r="S65" s="21"/>
      <c r="T65" s="21"/>
      <c r="U65" s="21"/>
      <c r="V65" s="21"/>
      <c r="W65" s="21"/>
      <c r="X65" s="21"/>
      <c r="Y65" s="21"/>
    </row>
    <row r="66" spans="1:25" x14ac:dyDescent="0.25">
      <c r="A66" s="16">
        <v>60</v>
      </c>
      <c r="B66" s="16"/>
      <c r="C66" s="17">
        <v>0.12</v>
      </c>
      <c r="D66" s="17">
        <v>0.1</v>
      </c>
      <c r="E66" s="18">
        <f t="shared" si="5"/>
        <v>1.999999999999999E-2</v>
      </c>
      <c r="F66" s="19">
        <v>5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1"/>
      <c r="S66" s="21"/>
      <c r="T66" s="21"/>
      <c r="U66" s="21"/>
      <c r="V66" s="21"/>
      <c r="W66" s="21"/>
      <c r="X66" s="21"/>
      <c r="Y66" s="21"/>
    </row>
    <row r="67" spans="1:25" x14ac:dyDescent="0.25">
      <c r="A67" s="16"/>
      <c r="B67" s="16"/>
      <c r="C67" s="16"/>
      <c r="D67" s="16"/>
      <c r="E67" s="16"/>
      <c r="F67" s="19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21"/>
      <c r="S67" s="21"/>
      <c r="T67" s="21"/>
      <c r="U67" s="21"/>
      <c r="V67" s="21"/>
      <c r="W67" s="21"/>
      <c r="X67" s="21"/>
      <c r="Y67" s="21"/>
    </row>
    <row r="68" spans="1:25" x14ac:dyDescent="0.25">
      <c r="A68" s="16">
        <v>61</v>
      </c>
      <c r="B68" s="16" t="s">
        <v>53</v>
      </c>
      <c r="C68" s="17">
        <v>0.45</v>
      </c>
      <c r="D68" s="17">
        <v>0.1</v>
      </c>
      <c r="E68" s="18">
        <f t="shared" ref="E68:E77" si="6">C68-D68</f>
        <v>0.35</v>
      </c>
      <c r="F68" s="19">
        <v>25</v>
      </c>
      <c r="G68" s="20">
        <v>50.9</v>
      </c>
      <c r="H68" s="20">
        <v>29.6</v>
      </c>
      <c r="I68" s="20">
        <v>50.3</v>
      </c>
      <c r="J68" s="20">
        <v>49.6</v>
      </c>
      <c r="K68" s="20">
        <v>47.55</v>
      </c>
      <c r="L68" s="20">
        <v>50</v>
      </c>
      <c r="M68" s="20">
        <v>49.2</v>
      </c>
      <c r="N68" s="20">
        <v>49.45</v>
      </c>
      <c r="O68" s="20">
        <v>30.3</v>
      </c>
      <c r="P68" s="20">
        <v>29.9</v>
      </c>
      <c r="Q68" s="20">
        <v>31.200000000000003</v>
      </c>
      <c r="R68" s="21"/>
      <c r="S68" s="21"/>
      <c r="T68" s="21"/>
      <c r="U68" s="21"/>
      <c r="V68" s="21"/>
      <c r="W68" s="21"/>
      <c r="X68" s="21"/>
      <c r="Y68" s="21"/>
    </row>
    <row r="69" spans="1:25" x14ac:dyDescent="0.25">
      <c r="A69" s="16">
        <v>62</v>
      </c>
      <c r="B69" s="16"/>
      <c r="C69" s="17">
        <v>0.45</v>
      </c>
      <c r="D69" s="17">
        <v>0.1</v>
      </c>
      <c r="E69" s="18">
        <f t="shared" si="6"/>
        <v>0.35</v>
      </c>
      <c r="F69" s="19">
        <v>25</v>
      </c>
      <c r="G69" s="20">
        <v>50.7</v>
      </c>
      <c r="H69" s="20">
        <v>29.6</v>
      </c>
      <c r="I69" s="20">
        <v>50.2</v>
      </c>
      <c r="J69" s="20">
        <v>49.4</v>
      </c>
      <c r="K69" s="20">
        <v>47.55</v>
      </c>
      <c r="L69" s="20">
        <v>50</v>
      </c>
      <c r="M69" s="20">
        <v>49.2</v>
      </c>
      <c r="N69" s="20">
        <v>49.45</v>
      </c>
      <c r="O69" s="20">
        <v>30.3</v>
      </c>
      <c r="P69" s="20">
        <v>29.9</v>
      </c>
      <c r="Q69" s="20">
        <v>31.200000000000003</v>
      </c>
      <c r="R69" s="21"/>
      <c r="S69" s="21"/>
      <c r="T69" s="21"/>
      <c r="U69" s="21"/>
      <c r="V69" s="21"/>
      <c r="W69" s="21"/>
      <c r="X69" s="21"/>
      <c r="Y69" s="21"/>
    </row>
    <row r="70" spans="1:25" x14ac:dyDescent="0.25">
      <c r="A70" s="16">
        <v>63</v>
      </c>
      <c r="B70" s="16"/>
      <c r="C70" s="17">
        <v>0.45</v>
      </c>
      <c r="D70" s="17">
        <v>0.1</v>
      </c>
      <c r="E70" s="18">
        <f t="shared" si="6"/>
        <v>0.35</v>
      </c>
      <c r="F70" s="19">
        <v>25</v>
      </c>
      <c r="G70" s="20">
        <v>50.849999999999994</v>
      </c>
      <c r="H70" s="20">
        <v>29.450000000000003</v>
      </c>
      <c r="I70" s="20">
        <v>50.2</v>
      </c>
      <c r="J70" s="20">
        <v>49.5</v>
      </c>
      <c r="K70" s="20">
        <v>47.55</v>
      </c>
      <c r="L70" s="20">
        <v>50.1</v>
      </c>
      <c r="M70" s="20">
        <v>49.3</v>
      </c>
      <c r="N70" s="20">
        <v>49.45</v>
      </c>
      <c r="O70" s="20">
        <v>30.4</v>
      </c>
      <c r="P70" s="20">
        <v>30</v>
      </c>
      <c r="Q70" s="20">
        <v>31.299999999999997</v>
      </c>
      <c r="R70" s="21"/>
      <c r="S70" s="21"/>
      <c r="T70" s="21"/>
      <c r="U70" s="21"/>
      <c r="V70" s="21"/>
      <c r="W70" s="21"/>
      <c r="X70" s="21"/>
      <c r="Y70" s="21"/>
    </row>
    <row r="71" spans="1:25" x14ac:dyDescent="0.25">
      <c r="A71" s="16">
        <v>64</v>
      </c>
      <c r="B71" s="16"/>
      <c r="C71" s="17">
        <v>0.45</v>
      </c>
      <c r="D71" s="17">
        <v>0.1</v>
      </c>
      <c r="E71" s="18">
        <f t="shared" si="6"/>
        <v>0.35</v>
      </c>
      <c r="F71" s="19">
        <v>25</v>
      </c>
      <c r="G71" s="20">
        <v>50.6</v>
      </c>
      <c r="H71" s="20">
        <v>29.15</v>
      </c>
      <c r="I71" s="20">
        <v>50.2</v>
      </c>
      <c r="J71" s="20">
        <v>49.4</v>
      </c>
      <c r="K71" s="20">
        <v>47.35</v>
      </c>
      <c r="L71" s="20">
        <v>50</v>
      </c>
      <c r="M71" s="20">
        <v>49.2</v>
      </c>
      <c r="N71" s="20">
        <v>49.35</v>
      </c>
      <c r="O71" s="20">
        <v>30.3</v>
      </c>
      <c r="P71" s="20">
        <v>29.9</v>
      </c>
      <c r="Q71" s="20">
        <v>31.200000000000003</v>
      </c>
      <c r="R71" s="21"/>
      <c r="S71" s="21"/>
      <c r="T71" s="21"/>
      <c r="U71" s="21"/>
      <c r="V71" s="21"/>
      <c r="W71" s="21"/>
      <c r="X71" s="21"/>
      <c r="Y71" s="21"/>
    </row>
    <row r="72" spans="1:25" x14ac:dyDescent="0.25">
      <c r="A72" s="16">
        <v>65</v>
      </c>
      <c r="B72" s="16"/>
      <c r="C72" s="17">
        <v>0.45</v>
      </c>
      <c r="D72" s="17">
        <v>0.1</v>
      </c>
      <c r="E72" s="18">
        <f t="shared" si="6"/>
        <v>0.35</v>
      </c>
      <c r="F72" s="19">
        <v>25</v>
      </c>
      <c r="G72" s="20">
        <v>50.8</v>
      </c>
      <c r="H72" s="20">
        <v>29.3</v>
      </c>
      <c r="I72" s="20">
        <v>50.2</v>
      </c>
      <c r="J72" s="20">
        <v>49.5</v>
      </c>
      <c r="K72" s="20">
        <v>47.55</v>
      </c>
      <c r="L72" s="20">
        <v>50.1</v>
      </c>
      <c r="M72" s="20">
        <v>49.3</v>
      </c>
      <c r="N72" s="20">
        <v>49.45</v>
      </c>
      <c r="O72" s="20">
        <v>30.4</v>
      </c>
      <c r="P72" s="20">
        <v>30</v>
      </c>
      <c r="Q72" s="20">
        <v>31.299999999999997</v>
      </c>
      <c r="R72" s="21"/>
      <c r="S72" s="21"/>
      <c r="T72" s="21"/>
      <c r="U72" s="21"/>
      <c r="V72" s="21"/>
      <c r="W72" s="21"/>
      <c r="X72" s="21"/>
      <c r="Y72" s="21"/>
    </row>
    <row r="73" spans="1:25" x14ac:dyDescent="0.25">
      <c r="A73" s="16">
        <v>66</v>
      </c>
      <c r="B73" s="16"/>
      <c r="C73" s="17">
        <v>0.45</v>
      </c>
      <c r="D73" s="17">
        <v>0.1</v>
      </c>
      <c r="E73" s="18">
        <f t="shared" si="6"/>
        <v>0.35</v>
      </c>
      <c r="F73" s="19">
        <v>25</v>
      </c>
      <c r="G73" s="20">
        <v>51</v>
      </c>
      <c r="H73" s="20">
        <v>29.3</v>
      </c>
      <c r="I73" s="20">
        <v>50.2</v>
      </c>
      <c r="J73" s="20">
        <v>49.5</v>
      </c>
      <c r="K73" s="20">
        <v>47.55</v>
      </c>
      <c r="L73" s="20">
        <v>49.9</v>
      </c>
      <c r="M73" s="20">
        <v>49.1</v>
      </c>
      <c r="N73" s="20">
        <v>49.45</v>
      </c>
      <c r="O73" s="20">
        <v>30.4</v>
      </c>
      <c r="P73" s="20">
        <v>30</v>
      </c>
      <c r="Q73" s="20">
        <v>31.299999999999997</v>
      </c>
      <c r="R73" s="21"/>
      <c r="S73" s="21"/>
      <c r="T73" s="21"/>
      <c r="U73" s="21"/>
      <c r="V73" s="21"/>
      <c r="W73" s="21"/>
      <c r="X73" s="21"/>
      <c r="Y73" s="21"/>
    </row>
    <row r="74" spans="1:25" x14ac:dyDescent="0.25">
      <c r="A74" s="16">
        <v>67</v>
      </c>
      <c r="B74" s="16"/>
      <c r="C74" s="17">
        <v>0.45</v>
      </c>
      <c r="D74" s="17">
        <v>0.1</v>
      </c>
      <c r="E74" s="18">
        <f t="shared" si="6"/>
        <v>0.35</v>
      </c>
      <c r="F74" s="19">
        <v>25</v>
      </c>
      <c r="G74" s="20">
        <v>50.9</v>
      </c>
      <c r="H74" s="20">
        <v>29.4</v>
      </c>
      <c r="I74" s="20">
        <v>50.2</v>
      </c>
      <c r="J74" s="20">
        <v>49.5</v>
      </c>
      <c r="K74" s="20">
        <v>47.55</v>
      </c>
      <c r="L74" s="20">
        <v>49.9</v>
      </c>
      <c r="M74" s="20">
        <v>49.1</v>
      </c>
      <c r="N74" s="20">
        <v>49.45</v>
      </c>
      <c r="O74" s="20">
        <v>30.4</v>
      </c>
      <c r="P74" s="20">
        <v>30</v>
      </c>
      <c r="Q74" s="20">
        <v>31.299999999999997</v>
      </c>
      <c r="R74" s="21"/>
      <c r="S74" s="21"/>
      <c r="T74" s="21"/>
      <c r="U74" s="21"/>
      <c r="V74" s="21"/>
      <c r="W74" s="21"/>
      <c r="X74" s="21"/>
      <c r="Y74" s="21"/>
    </row>
    <row r="75" spans="1:25" x14ac:dyDescent="0.25">
      <c r="A75" s="16">
        <v>68</v>
      </c>
      <c r="B75" s="16"/>
      <c r="C75" s="17">
        <v>0.45</v>
      </c>
      <c r="D75" s="17">
        <v>0.1</v>
      </c>
      <c r="E75" s="18">
        <f t="shared" si="6"/>
        <v>0.35</v>
      </c>
      <c r="F75" s="19">
        <v>25</v>
      </c>
      <c r="G75" s="20">
        <v>50.8</v>
      </c>
      <c r="H75" s="20">
        <v>29.4</v>
      </c>
      <c r="I75" s="20">
        <v>50.2</v>
      </c>
      <c r="J75" s="20">
        <v>49.5</v>
      </c>
      <c r="K75" s="20">
        <v>47.55</v>
      </c>
      <c r="L75" s="20">
        <v>49.9</v>
      </c>
      <c r="M75" s="20">
        <v>49.1</v>
      </c>
      <c r="N75" s="20">
        <v>49.45</v>
      </c>
      <c r="O75" s="20">
        <v>30.4</v>
      </c>
      <c r="P75" s="20">
        <v>30</v>
      </c>
      <c r="Q75" s="20">
        <v>31.299999999999997</v>
      </c>
      <c r="R75" s="21"/>
      <c r="S75" s="21"/>
      <c r="T75" s="21"/>
      <c r="U75" s="21"/>
      <c r="V75" s="21"/>
      <c r="W75" s="21"/>
      <c r="X75" s="21"/>
      <c r="Y75" s="21"/>
    </row>
    <row r="76" spans="1:25" x14ac:dyDescent="0.25">
      <c r="A76" s="16">
        <v>69</v>
      </c>
      <c r="B76" s="16"/>
      <c r="C76" s="17">
        <v>0.45</v>
      </c>
      <c r="D76" s="17">
        <v>0.1</v>
      </c>
      <c r="E76" s="18">
        <f t="shared" si="6"/>
        <v>0.35</v>
      </c>
      <c r="F76" s="19">
        <v>25</v>
      </c>
      <c r="G76" s="20">
        <v>51</v>
      </c>
      <c r="H76" s="20">
        <v>29.7</v>
      </c>
      <c r="I76" s="20">
        <v>50.2</v>
      </c>
      <c r="J76" s="20">
        <v>49.5</v>
      </c>
      <c r="K76" s="20">
        <v>47.55</v>
      </c>
      <c r="L76" s="20">
        <v>49.9</v>
      </c>
      <c r="M76" s="20">
        <v>49.1</v>
      </c>
      <c r="N76" s="20">
        <v>49.45</v>
      </c>
      <c r="O76" s="20">
        <v>30.4</v>
      </c>
      <c r="P76" s="20">
        <v>30</v>
      </c>
      <c r="Q76" s="20">
        <v>31.299999999999997</v>
      </c>
      <c r="R76" s="21"/>
      <c r="S76" s="21"/>
      <c r="T76" s="21"/>
      <c r="U76" s="21"/>
      <c r="V76" s="21"/>
      <c r="W76" s="21"/>
      <c r="X76" s="21"/>
      <c r="Y76" s="21"/>
    </row>
    <row r="77" spans="1:25" x14ac:dyDescent="0.25">
      <c r="A77" s="16">
        <v>70</v>
      </c>
      <c r="B77" s="16"/>
      <c r="C77" s="17">
        <v>0.45</v>
      </c>
      <c r="D77" s="17">
        <v>0.1</v>
      </c>
      <c r="E77" s="18">
        <f t="shared" si="6"/>
        <v>0.35</v>
      </c>
      <c r="F77" s="19">
        <v>25</v>
      </c>
      <c r="G77" s="20">
        <v>50.7</v>
      </c>
      <c r="H77" s="20">
        <v>29.7</v>
      </c>
      <c r="I77" s="20">
        <v>50.2</v>
      </c>
      <c r="J77" s="20">
        <v>49.5</v>
      </c>
      <c r="K77" s="20">
        <v>47.55</v>
      </c>
      <c r="L77" s="20">
        <v>49.9</v>
      </c>
      <c r="M77" s="20">
        <v>49.1</v>
      </c>
      <c r="N77" s="20">
        <v>49.45</v>
      </c>
      <c r="O77" s="20">
        <v>30.4</v>
      </c>
      <c r="P77" s="20">
        <v>30</v>
      </c>
      <c r="Q77" s="20">
        <v>31.299999999999997</v>
      </c>
      <c r="R77" s="21"/>
      <c r="S77" s="21"/>
      <c r="T77" s="21"/>
      <c r="U77" s="21"/>
      <c r="V77" s="21"/>
      <c r="W77" s="21"/>
      <c r="X77" s="21"/>
      <c r="Y77" s="21"/>
    </row>
    <row r="78" spans="1:25" x14ac:dyDescent="0.25">
      <c r="A78" s="16"/>
      <c r="B78" s="16"/>
      <c r="C78" s="22"/>
      <c r="D78" s="22"/>
      <c r="E78" s="22"/>
      <c r="F78" s="19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21"/>
      <c r="S78" s="21"/>
      <c r="T78" s="21"/>
      <c r="U78" s="21"/>
      <c r="V78" s="21"/>
      <c r="W78" s="21"/>
      <c r="X78" s="21"/>
      <c r="Y78" s="21"/>
    </row>
    <row r="79" spans="1:25" x14ac:dyDescent="0.25">
      <c r="A79" s="16">
        <v>71</v>
      </c>
      <c r="B79" s="16" t="s">
        <v>54</v>
      </c>
      <c r="C79" s="17">
        <v>0.35</v>
      </c>
      <c r="D79" s="17">
        <v>0.1</v>
      </c>
      <c r="E79" s="18">
        <f t="shared" ref="E79:E88" si="7">C79-D79</f>
        <v>0.24999999999999997</v>
      </c>
      <c r="F79" s="19">
        <v>20</v>
      </c>
      <c r="G79" s="20">
        <v>50.2</v>
      </c>
      <c r="H79" s="20">
        <v>28.1</v>
      </c>
      <c r="I79" s="20">
        <v>50</v>
      </c>
      <c r="J79" s="20">
        <v>49.6</v>
      </c>
      <c r="K79" s="20">
        <v>47.45</v>
      </c>
      <c r="L79" s="20">
        <v>49.6</v>
      </c>
      <c r="M79" s="20">
        <v>49.4</v>
      </c>
      <c r="N79" s="20">
        <v>49.35</v>
      </c>
      <c r="O79" s="20">
        <v>29.2</v>
      </c>
      <c r="P79" s="20">
        <v>28.4</v>
      </c>
      <c r="Q79" s="20">
        <v>29.85</v>
      </c>
      <c r="R79" s="21"/>
      <c r="S79" s="21"/>
      <c r="T79" s="21"/>
      <c r="U79" s="21"/>
      <c r="V79" s="21"/>
      <c r="W79" s="21"/>
      <c r="X79" s="21"/>
      <c r="Y79" s="21"/>
    </row>
    <row r="80" spans="1:25" x14ac:dyDescent="0.25">
      <c r="A80" s="16">
        <v>72</v>
      </c>
      <c r="B80" s="16"/>
      <c r="C80" s="17">
        <v>0.35</v>
      </c>
      <c r="D80" s="17">
        <v>0.1</v>
      </c>
      <c r="E80" s="18">
        <f t="shared" si="7"/>
        <v>0.24999999999999997</v>
      </c>
      <c r="F80" s="19">
        <v>20</v>
      </c>
      <c r="G80" s="20">
        <v>50.3</v>
      </c>
      <c r="H80" s="20">
        <v>28.200000000000003</v>
      </c>
      <c r="I80" s="20">
        <v>50.1</v>
      </c>
      <c r="J80" s="20">
        <v>49.7</v>
      </c>
      <c r="K80" s="20">
        <v>47.45</v>
      </c>
      <c r="L80" s="20">
        <v>49.7</v>
      </c>
      <c r="M80" s="20">
        <v>49.5</v>
      </c>
      <c r="N80" s="20">
        <v>49.400000000000006</v>
      </c>
      <c r="O80" s="20">
        <v>29.3</v>
      </c>
      <c r="P80" s="20">
        <v>28.5</v>
      </c>
      <c r="Q80" s="20">
        <v>29.8</v>
      </c>
      <c r="R80" s="21"/>
      <c r="S80" s="21"/>
      <c r="T80" s="21"/>
      <c r="U80" s="21"/>
      <c r="V80" s="21"/>
      <c r="W80" s="21"/>
      <c r="X80" s="21"/>
      <c r="Y80" s="21"/>
    </row>
    <row r="81" spans="1:25" x14ac:dyDescent="0.25">
      <c r="A81" s="16">
        <v>73</v>
      </c>
      <c r="B81" s="16"/>
      <c r="C81" s="17">
        <v>0.35</v>
      </c>
      <c r="D81" s="17">
        <v>0.1</v>
      </c>
      <c r="E81" s="18">
        <f t="shared" si="7"/>
        <v>0.24999999999999997</v>
      </c>
      <c r="F81" s="19">
        <v>20</v>
      </c>
      <c r="G81" s="20">
        <v>50.5</v>
      </c>
      <c r="H81" s="20">
        <v>28.6</v>
      </c>
      <c r="I81" s="20">
        <v>50.2</v>
      </c>
      <c r="J81" s="20">
        <v>49.8</v>
      </c>
      <c r="K81" s="20">
        <v>47.55</v>
      </c>
      <c r="L81" s="20">
        <v>49.8</v>
      </c>
      <c r="M81" s="20">
        <v>49.4</v>
      </c>
      <c r="N81" s="20">
        <v>49.400000000000006</v>
      </c>
      <c r="O81" s="20">
        <v>29.4</v>
      </c>
      <c r="P81" s="20">
        <v>28.4</v>
      </c>
      <c r="Q81" s="20">
        <v>29.85</v>
      </c>
      <c r="R81" s="21"/>
      <c r="S81" s="21"/>
      <c r="T81" s="21"/>
      <c r="U81" s="21"/>
      <c r="V81" s="21"/>
      <c r="W81" s="21"/>
      <c r="X81" s="21"/>
      <c r="Y81" s="21"/>
    </row>
    <row r="82" spans="1:25" x14ac:dyDescent="0.25">
      <c r="A82" s="16">
        <v>74</v>
      </c>
      <c r="B82" s="16"/>
      <c r="C82" s="17">
        <v>0.35</v>
      </c>
      <c r="D82" s="17">
        <v>0.1</v>
      </c>
      <c r="E82" s="18">
        <f t="shared" si="7"/>
        <v>0.24999999999999997</v>
      </c>
      <c r="F82" s="19">
        <v>20</v>
      </c>
      <c r="G82" s="20">
        <v>50.4</v>
      </c>
      <c r="H82" s="20">
        <v>29</v>
      </c>
      <c r="I82" s="20">
        <v>50.2</v>
      </c>
      <c r="J82" s="20">
        <v>49.8</v>
      </c>
      <c r="K82" s="20">
        <v>47.65</v>
      </c>
      <c r="L82" s="20">
        <v>49.8</v>
      </c>
      <c r="M82" s="20">
        <v>49.4</v>
      </c>
      <c r="N82" s="20">
        <v>49.400000000000006</v>
      </c>
      <c r="O82" s="20">
        <v>29.2</v>
      </c>
      <c r="P82" s="20">
        <v>28.4</v>
      </c>
      <c r="Q82" s="20">
        <v>29.85</v>
      </c>
      <c r="R82" s="21"/>
      <c r="S82" s="21"/>
      <c r="T82" s="21"/>
      <c r="U82" s="21"/>
      <c r="V82" s="21"/>
      <c r="W82" s="21"/>
      <c r="X82" s="21"/>
      <c r="Y82" s="21"/>
    </row>
    <row r="83" spans="1:25" x14ac:dyDescent="0.25">
      <c r="A83" s="16">
        <v>75</v>
      </c>
      <c r="B83" s="16"/>
      <c r="C83" s="17">
        <v>0.35</v>
      </c>
      <c r="D83" s="17">
        <v>0.1</v>
      </c>
      <c r="E83" s="18">
        <f t="shared" si="7"/>
        <v>0.24999999999999997</v>
      </c>
      <c r="F83" s="19">
        <v>20</v>
      </c>
      <c r="G83" s="20">
        <v>50.4</v>
      </c>
      <c r="H83" s="20">
        <v>29</v>
      </c>
      <c r="I83" s="20">
        <v>50.1</v>
      </c>
      <c r="J83" s="20">
        <v>49.7</v>
      </c>
      <c r="K83" s="20">
        <v>47.65</v>
      </c>
      <c r="L83" s="20">
        <v>49.9</v>
      </c>
      <c r="M83" s="20">
        <v>49.5</v>
      </c>
      <c r="N83" s="20">
        <v>49.5</v>
      </c>
      <c r="O83" s="20">
        <v>29.3</v>
      </c>
      <c r="P83" s="20">
        <v>28.5</v>
      </c>
      <c r="Q83" s="20">
        <v>29.9</v>
      </c>
      <c r="R83" s="21"/>
      <c r="S83" s="21"/>
      <c r="T83" s="21"/>
      <c r="U83" s="21"/>
      <c r="V83" s="21"/>
      <c r="W83" s="21"/>
      <c r="X83" s="21"/>
      <c r="Y83" s="21"/>
    </row>
    <row r="84" spans="1:25" x14ac:dyDescent="0.25">
      <c r="A84" s="16">
        <v>76</v>
      </c>
      <c r="B84" s="16"/>
      <c r="C84" s="17">
        <v>0.35</v>
      </c>
      <c r="D84" s="17">
        <v>0.1</v>
      </c>
      <c r="E84" s="18">
        <f t="shared" si="7"/>
        <v>0.24999999999999997</v>
      </c>
      <c r="F84" s="19">
        <v>20</v>
      </c>
      <c r="G84" s="20">
        <v>50.4</v>
      </c>
      <c r="H84" s="20">
        <v>29.049999999999997</v>
      </c>
      <c r="I84" s="20">
        <v>50.2</v>
      </c>
      <c r="J84" s="20">
        <v>49.8</v>
      </c>
      <c r="K84" s="20">
        <v>47.55</v>
      </c>
      <c r="L84" s="20">
        <v>49.8</v>
      </c>
      <c r="M84" s="20">
        <v>49.4</v>
      </c>
      <c r="N84" s="20">
        <v>49.400000000000006</v>
      </c>
      <c r="O84" s="20">
        <v>29.4</v>
      </c>
      <c r="P84" s="20">
        <v>28.6</v>
      </c>
      <c r="Q84" s="20">
        <v>29.9</v>
      </c>
      <c r="R84" s="21"/>
      <c r="S84" s="21"/>
      <c r="T84" s="21"/>
      <c r="U84" s="21"/>
      <c r="V84" s="21"/>
      <c r="W84" s="21"/>
      <c r="X84" s="21"/>
      <c r="Y84" s="21"/>
    </row>
    <row r="85" spans="1:25" x14ac:dyDescent="0.25">
      <c r="A85" s="16">
        <v>77</v>
      </c>
      <c r="B85" s="16"/>
      <c r="C85" s="17">
        <v>0.35</v>
      </c>
      <c r="D85" s="17">
        <v>0.1</v>
      </c>
      <c r="E85" s="18">
        <f t="shared" si="7"/>
        <v>0.24999999999999997</v>
      </c>
      <c r="F85" s="19">
        <v>20</v>
      </c>
      <c r="G85" s="20">
        <v>50.5</v>
      </c>
      <c r="H85" s="20">
        <v>28.85</v>
      </c>
      <c r="I85" s="20">
        <v>50.3</v>
      </c>
      <c r="J85" s="20">
        <v>49.9</v>
      </c>
      <c r="K85" s="20">
        <v>47.65</v>
      </c>
      <c r="L85" s="20">
        <v>49.9</v>
      </c>
      <c r="M85" s="20">
        <v>49.5</v>
      </c>
      <c r="N85" s="20">
        <v>49.400000000000006</v>
      </c>
      <c r="O85" s="20">
        <v>29.5</v>
      </c>
      <c r="P85" s="20">
        <v>28.5</v>
      </c>
      <c r="Q85" s="20">
        <v>30</v>
      </c>
      <c r="R85" s="21"/>
      <c r="S85" s="21"/>
      <c r="T85" s="21"/>
      <c r="U85" s="21"/>
      <c r="V85" s="21"/>
      <c r="W85" s="21"/>
      <c r="X85" s="21"/>
      <c r="Y85" s="21"/>
    </row>
    <row r="86" spans="1:25" x14ac:dyDescent="0.25">
      <c r="A86" s="16">
        <v>78</v>
      </c>
      <c r="B86" s="16"/>
      <c r="C86" s="17">
        <v>0.35</v>
      </c>
      <c r="D86" s="17">
        <v>0.1</v>
      </c>
      <c r="E86" s="18">
        <f t="shared" si="7"/>
        <v>0.24999999999999997</v>
      </c>
      <c r="F86" s="19">
        <v>20</v>
      </c>
      <c r="G86" s="20">
        <v>50.6</v>
      </c>
      <c r="H86" s="20">
        <v>28.6</v>
      </c>
      <c r="I86" s="20">
        <v>50.2</v>
      </c>
      <c r="J86" s="20">
        <v>49.8</v>
      </c>
      <c r="K86" s="20">
        <v>47.7</v>
      </c>
      <c r="L86" s="20">
        <v>50</v>
      </c>
      <c r="M86" s="20">
        <v>49.6</v>
      </c>
      <c r="N86" s="20">
        <v>49.55</v>
      </c>
      <c r="O86" s="20">
        <v>29.4</v>
      </c>
      <c r="P86" s="20">
        <v>28.6</v>
      </c>
      <c r="Q86" s="20">
        <v>30.1</v>
      </c>
      <c r="R86" s="21"/>
      <c r="S86" s="21"/>
      <c r="T86" s="21"/>
      <c r="U86" s="21"/>
      <c r="V86" s="21"/>
      <c r="W86" s="21"/>
      <c r="X86" s="21"/>
      <c r="Y86" s="21"/>
    </row>
    <row r="87" spans="1:25" x14ac:dyDescent="0.25">
      <c r="A87" s="16">
        <v>79</v>
      </c>
      <c r="B87" s="16"/>
      <c r="C87" s="17">
        <v>0.35</v>
      </c>
      <c r="D87" s="17">
        <v>0.1</v>
      </c>
      <c r="E87" s="18">
        <f t="shared" si="7"/>
        <v>0.24999999999999997</v>
      </c>
      <c r="F87" s="19">
        <v>20</v>
      </c>
      <c r="G87" s="20">
        <v>50.4</v>
      </c>
      <c r="H87" s="20">
        <v>28.2</v>
      </c>
      <c r="I87" s="20">
        <v>50</v>
      </c>
      <c r="J87" s="20">
        <v>49.6</v>
      </c>
      <c r="K87" s="20">
        <v>47.599999999999994</v>
      </c>
      <c r="L87" s="20">
        <v>49.8</v>
      </c>
      <c r="M87" s="20">
        <v>49.5</v>
      </c>
      <c r="N87" s="20">
        <v>49.35</v>
      </c>
      <c r="O87" s="20">
        <v>29.4</v>
      </c>
      <c r="P87" s="20">
        <v>28.6</v>
      </c>
      <c r="Q87" s="20">
        <v>30.1</v>
      </c>
      <c r="R87" s="21"/>
      <c r="S87" s="21"/>
      <c r="T87" s="21"/>
      <c r="U87" s="21"/>
      <c r="V87" s="21"/>
      <c r="W87" s="21"/>
      <c r="X87" s="21"/>
      <c r="Y87" s="21"/>
    </row>
    <row r="88" spans="1:25" x14ac:dyDescent="0.25">
      <c r="A88" s="16">
        <v>80</v>
      </c>
      <c r="B88" s="16"/>
      <c r="C88" s="17">
        <v>0.35</v>
      </c>
      <c r="D88" s="17">
        <v>0.1</v>
      </c>
      <c r="E88" s="18">
        <f t="shared" si="7"/>
        <v>0.24999999999999997</v>
      </c>
      <c r="F88" s="19">
        <v>20</v>
      </c>
      <c r="G88" s="20">
        <v>50.4</v>
      </c>
      <c r="H88" s="20">
        <v>28.1</v>
      </c>
      <c r="I88" s="20">
        <v>50.1</v>
      </c>
      <c r="J88" s="20">
        <v>49.7</v>
      </c>
      <c r="K88" s="20">
        <v>47.599999999999994</v>
      </c>
      <c r="L88" s="20">
        <v>49.7</v>
      </c>
      <c r="M88" s="20">
        <v>49.4</v>
      </c>
      <c r="N88" s="20">
        <v>49.45</v>
      </c>
      <c r="O88" s="20">
        <v>29.5</v>
      </c>
      <c r="P88" s="20">
        <v>28.7</v>
      </c>
      <c r="Q88" s="20">
        <v>30.200000000000003</v>
      </c>
      <c r="R88" s="21"/>
      <c r="S88" s="21"/>
      <c r="T88" s="21"/>
      <c r="U88" s="21"/>
      <c r="V88" s="21"/>
      <c r="W88" s="21"/>
      <c r="X88" s="21"/>
      <c r="Y88" s="21"/>
    </row>
    <row r="89" spans="1:25" x14ac:dyDescent="0.25">
      <c r="A89" s="16"/>
      <c r="B89" s="16"/>
      <c r="C89" s="22"/>
      <c r="D89" s="22"/>
      <c r="E89" s="22"/>
      <c r="F89" s="19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21"/>
      <c r="S89" s="21"/>
      <c r="T89" s="21"/>
      <c r="U89" s="21"/>
      <c r="V89" s="21"/>
      <c r="W89" s="21"/>
      <c r="X89" s="21"/>
      <c r="Y89" s="21"/>
    </row>
    <row r="90" spans="1:25" x14ac:dyDescent="0.25">
      <c r="A90" s="16">
        <v>81</v>
      </c>
      <c r="B90" s="16" t="s">
        <v>55</v>
      </c>
      <c r="C90" s="17">
        <v>0.2</v>
      </c>
      <c r="D90" s="17">
        <v>0.1</v>
      </c>
      <c r="E90" s="18">
        <f t="shared" ref="E90:E99" si="8">C90-D90</f>
        <v>0.1</v>
      </c>
      <c r="F90" s="19">
        <v>15</v>
      </c>
      <c r="G90" s="20">
        <v>50.9</v>
      </c>
      <c r="H90" s="20">
        <v>29.85</v>
      </c>
      <c r="I90" s="20">
        <v>50.3</v>
      </c>
      <c r="J90" s="20">
        <v>49.7</v>
      </c>
      <c r="K90" s="20">
        <v>47.55</v>
      </c>
      <c r="L90" s="20">
        <v>50.1</v>
      </c>
      <c r="M90" s="20">
        <v>49.4</v>
      </c>
      <c r="N90" s="20">
        <v>49.45</v>
      </c>
      <c r="O90" s="20">
        <v>30.6</v>
      </c>
      <c r="P90" s="20">
        <v>30</v>
      </c>
      <c r="Q90" s="20">
        <v>31.5</v>
      </c>
      <c r="R90" s="21"/>
      <c r="S90" s="21"/>
      <c r="T90" s="21"/>
      <c r="U90" s="21"/>
      <c r="V90" s="21"/>
      <c r="W90" s="21"/>
      <c r="X90" s="21"/>
      <c r="Y90" s="21"/>
    </row>
    <row r="91" spans="1:25" x14ac:dyDescent="0.25">
      <c r="A91" s="16">
        <v>82</v>
      </c>
      <c r="B91" s="16"/>
      <c r="C91" s="17">
        <v>0.2</v>
      </c>
      <c r="D91" s="17">
        <v>0.1</v>
      </c>
      <c r="E91" s="18">
        <f t="shared" si="8"/>
        <v>0.1</v>
      </c>
      <c r="F91" s="19">
        <v>15</v>
      </c>
      <c r="G91" s="20">
        <v>50.9</v>
      </c>
      <c r="H91" s="20">
        <v>29.75</v>
      </c>
      <c r="I91" s="20">
        <v>50.3</v>
      </c>
      <c r="J91" s="20">
        <v>49.5</v>
      </c>
      <c r="K91" s="20">
        <v>47.55</v>
      </c>
      <c r="L91" s="20">
        <v>49.9</v>
      </c>
      <c r="M91" s="20">
        <v>49.2</v>
      </c>
      <c r="N91" s="20">
        <v>49.45</v>
      </c>
      <c r="O91" s="20">
        <v>30.6</v>
      </c>
      <c r="P91" s="20">
        <v>30</v>
      </c>
      <c r="Q91" s="20">
        <v>31.5</v>
      </c>
      <c r="R91" s="21"/>
      <c r="S91" s="21"/>
      <c r="T91" s="21"/>
      <c r="U91" s="21"/>
      <c r="V91" s="21"/>
      <c r="W91" s="21"/>
      <c r="X91" s="21"/>
      <c r="Y91" s="21"/>
    </row>
    <row r="92" spans="1:25" x14ac:dyDescent="0.25">
      <c r="A92" s="16">
        <v>83</v>
      </c>
      <c r="B92" s="16"/>
      <c r="C92" s="17">
        <v>0.2</v>
      </c>
      <c r="D92" s="17">
        <v>0.1</v>
      </c>
      <c r="E92" s="18">
        <f t="shared" si="8"/>
        <v>0.1</v>
      </c>
      <c r="F92" s="19">
        <v>15</v>
      </c>
      <c r="G92" s="20">
        <v>50.9</v>
      </c>
      <c r="H92" s="20">
        <v>29.65</v>
      </c>
      <c r="I92" s="20">
        <v>50.3</v>
      </c>
      <c r="J92" s="20">
        <v>49.5</v>
      </c>
      <c r="K92" s="20">
        <v>47.55</v>
      </c>
      <c r="L92" s="20">
        <v>49.9</v>
      </c>
      <c r="M92" s="20">
        <v>49.2</v>
      </c>
      <c r="N92" s="20">
        <v>49.45</v>
      </c>
      <c r="O92" s="20">
        <v>30.6</v>
      </c>
      <c r="P92" s="20">
        <v>30.2</v>
      </c>
      <c r="Q92" s="20">
        <v>31.5</v>
      </c>
      <c r="R92" s="21"/>
      <c r="S92" s="21"/>
      <c r="T92" s="21"/>
      <c r="U92" s="21"/>
      <c r="V92" s="21"/>
      <c r="W92" s="21"/>
      <c r="X92" s="21"/>
      <c r="Y92" s="21"/>
    </row>
    <row r="93" spans="1:25" x14ac:dyDescent="0.25">
      <c r="A93" s="16">
        <v>84</v>
      </c>
      <c r="B93" s="16"/>
      <c r="C93" s="17">
        <v>0.2</v>
      </c>
      <c r="D93" s="17">
        <v>0.1</v>
      </c>
      <c r="E93" s="18">
        <f t="shared" si="8"/>
        <v>0.1</v>
      </c>
      <c r="F93" s="19">
        <v>15</v>
      </c>
      <c r="G93" s="20">
        <v>50.9</v>
      </c>
      <c r="H93" s="20">
        <v>29.75</v>
      </c>
      <c r="I93" s="20">
        <v>50.3</v>
      </c>
      <c r="J93" s="20">
        <v>49.5</v>
      </c>
      <c r="K93" s="20">
        <v>47.65</v>
      </c>
      <c r="L93" s="20">
        <v>49.9</v>
      </c>
      <c r="M93" s="20">
        <v>49.2</v>
      </c>
      <c r="N93" s="20">
        <v>49.45</v>
      </c>
      <c r="O93" s="20">
        <v>30.6</v>
      </c>
      <c r="P93" s="20">
        <v>30.2</v>
      </c>
      <c r="Q93" s="20">
        <v>31.5</v>
      </c>
      <c r="R93" s="21"/>
      <c r="S93" s="21"/>
      <c r="T93" s="21"/>
      <c r="U93" s="21"/>
      <c r="V93" s="21"/>
      <c r="W93" s="21"/>
      <c r="X93" s="21"/>
      <c r="Y93" s="21"/>
    </row>
    <row r="94" spans="1:25" x14ac:dyDescent="0.25">
      <c r="A94" s="16">
        <v>85</v>
      </c>
      <c r="B94" s="16"/>
      <c r="C94" s="17">
        <v>0.2</v>
      </c>
      <c r="D94" s="17">
        <v>0.1</v>
      </c>
      <c r="E94" s="18">
        <f t="shared" si="8"/>
        <v>0.1</v>
      </c>
      <c r="F94" s="19">
        <v>15</v>
      </c>
      <c r="G94" s="20">
        <v>50.9</v>
      </c>
      <c r="H94" s="20">
        <v>29.95</v>
      </c>
      <c r="I94" s="20">
        <v>50.3</v>
      </c>
      <c r="J94" s="20">
        <v>49.5</v>
      </c>
      <c r="K94" s="20">
        <v>47.65</v>
      </c>
      <c r="L94" s="20">
        <v>49.9</v>
      </c>
      <c r="M94" s="20">
        <v>49.4</v>
      </c>
      <c r="N94" s="20">
        <v>49.45</v>
      </c>
      <c r="O94" s="20">
        <v>30.6</v>
      </c>
      <c r="P94" s="20">
        <v>30.2</v>
      </c>
      <c r="Q94" s="20">
        <v>31.5</v>
      </c>
      <c r="R94" s="21"/>
      <c r="S94" s="21"/>
      <c r="T94" s="21"/>
      <c r="U94" s="21"/>
      <c r="V94" s="21"/>
      <c r="W94" s="21"/>
      <c r="X94" s="21"/>
      <c r="Y94" s="21"/>
    </row>
    <row r="95" spans="1:25" x14ac:dyDescent="0.25">
      <c r="A95" s="16">
        <v>86</v>
      </c>
      <c r="B95" s="16"/>
      <c r="C95" s="17">
        <v>0.2</v>
      </c>
      <c r="D95" s="17">
        <v>0.1</v>
      </c>
      <c r="E95" s="18">
        <f t="shared" si="8"/>
        <v>0.1</v>
      </c>
      <c r="F95" s="19">
        <v>15</v>
      </c>
      <c r="G95" s="20">
        <v>50.9</v>
      </c>
      <c r="H95" s="20">
        <v>29.65</v>
      </c>
      <c r="I95" s="20">
        <v>50.3</v>
      </c>
      <c r="J95" s="20">
        <v>49.5</v>
      </c>
      <c r="K95" s="20">
        <v>47.55</v>
      </c>
      <c r="L95" s="20">
        <v>49.9</v>
      </c>
      <c r="M95" s="20">
        <v>49.4</v>
      </c>
      <c r="N95" s="20">
        <v>49.45</v>
      </c>
      <c r="O95" s="20">
        <v>30.6</v>
      </c>
      <c r="P95" s="20">
        <v>30.2</v>
      </c>
      <c r="Q95" s="20">
        <v>31.5</v>
      </c>
      <c r="R95" s="21"/>
      <c r="S95" s="21"/>
      <c r="T95" s="21"/>
      <c r="U95" s="21"/>
      <c r="V95" s="21"/>
      <c r="W95" s="21"/>
      <c r="X95" s="21"/>
      <c r="Y95" s="21"/>
    </row>
    <row r="96" spans="1:25" x14ac:dyDescent="0.25">
      <c r="A96" s="16">
        <v>87</v>
      </c>
      <c r="B96" s="16"/>
      <c r="C96" s="17">
        <v>0.2</v>
      </c>
      <c r="D96" s="17">
        <v>0.1</v>
      </c>
      <c r="E96" s="18">
        <f t="shared" si="8"/>
        <v>0.1</v>
      </c>
      <c r="F96" s="19">
        <v>15</v>
      </c>
      <c r="G96" s="20">
        <v>50.9</v>
      </c>
      <c r="H96" s="20">
        <v>29.55</v>
      </c>
      <c r="I96" s="20">
        <v>50.3</v>
      </c>
      <c r="J96" s="20">
        <v>49.5</v>
      </c>
      <c r="K96" s="20">
        <v>47.55</v>
      </c>
      <c r="L96" s="20">
        <v>49.9</v>
      </c>
      <c r="M96" s="20">
        <v>49.4</v>
      </c>
      <c r="N96" s="20">
        <v>49.45</v>
      </c>
      <c r="O96" s="20">
        <v>30.6</v>
      </c>
      <c r="P96" s="20">
        <v>30.2</v>
      </c>
      <c r="Q96" s="20">
        <v>31.5</v>
      </c>
      <c r="R96" s="21"/>
      <c r="S96" s="21"/>
      <c r="T96" s="21"/>
      <c r="U96" s="21"/>
      <c r="V96" s="21"/>
      <c r="W96" s="21"/>
      <c r="X96" s="21"/>
      <c r="Y96" s="21"/>
    </row>
    <row r="97" spans="1:25" x14ac:dyDescent="0.25">
      <c r="A97" s="16">
        <v>88</v>
      </c>
      <c r="B97" s="16"/>
      <c r="C97" s="17">
        <v>0.2</v>
      </c>
      <c r="D97" s="17">
        <v>0.1</v>
      </c>
      <c r="E97" s="18">
        <f t="shared" si="8"/>
        <v>0.1</v>
      </c>
      <c r="F97" s="19">
        <v>15</v>
      </c>
      <c r="G97" s="20">
        <v>50.9</v>
      </c>
      <c r="H97" s="20">
        <v>29.85</v>
      </c>
      <c r="I97" s="20">
        <v>50.3</v>
      </c>
      <c r="J97" s="20">
        <v>49.5</v>
      </c>
      <c r="K97" s="20">
        <v>47.55</v>
      </c>
      <c r="L97" s="20">
        <v>49.9</v>
      </c>
      <c r="M97" s="20">
        <v>49.4</v>
      </c>
      <c r="N97" s="20">
        <v>49.45</v>
      </c>
      <c r="O97" s="20">
        <v>30.6</v>
      </c>
      <c r="P97" s="20">
        <v>30.2</v>
      </c>
      <c r="Q97" s="20">
        <v>31.5</v>
      </c>
      <c r="R97" s="21"/>
      <c r="S97" s="21"/>
      <c r="T97" s="21"/>
      <c r="U97" s="21"/>
      <c r="V97" s="21"/>
      <c r="W97" s="21"/>
      <c r="X97" s="21"/>
      <c r="Y97" s="21"/>
    </row>
    <row r="98" spans="1:25" x14ac:dyDescent="0.25">
      <c r="A98" s="16">
        <v>89</v>
      </c>
      <c r="B98" s="16"/>
      <c r="C98" s="17">
        <v>0.2</v>
      </c>
      <c r="D98" s="17">
        <v>0.1</v>
      </c>
      <c r="E98" s="18">
        <f t="shared" si="8"/>
        <v>0.1</v>
      </c>
      <c r="F98" s="19">
        <v>15</v>
      </c>
      <c r="G98" s="20">
        <v>50.8</v>
      </c>
      <c r="H98" s="20">
        <v>29.75</v>
      </c>
      <c r="I98" s="20">
        <v>50.3</v>
      </c>
      <c r="J98" s="20">
        <v>49.5</v>
      </c>
      <c r="K98" s="20">
        <v>47.35</v>
      </c>
      <c r="L98" s="20">
        <v>49.9</v>
      </c>
      <c r="M98" s="20">
        <v>49.4</v>
      </c>
      <c r="N98" s="20">
        <v>49.25</v>
      </c>
      <c r="O98" s="20">
        <v>30.6</v>
      </c>
      <c r="P98" s="20">
        <v>30.2</v>
      </c>
      <c r="Q98" s="20">
        <v>31.5</v>
      </c>
      <c r="R98" s="21"/>
      <c r="S98" s="21"/>
      <c r="T98" s="21"/>
      <c r="U98" s="21"/>
      <c r="V98" s="21"/>
      <c r="W98" s="21"/>
      <c r="X98" s="21"/>
      <c r="Y98" s="21"/>
    </row>
    <row r="99" spans="1:25" x14ac:dyDescent="0.25">
      <c r="A99" s="16">
        <v>90</v>
      </c>
      <c r="B99" s="16"/>
      <c r="C99" s="17">
        <v>0.2</v>
      </c>
      <c r="D99" s="17">
        <v>0.1</v>
      </c>
      <c r="E99" s="18">
        <f t="shared" si="8"/>
        <v>0.1</v>
      </c>
      <c r="F99" s="19">
        <v>15</v>
      </c>
      <c r="G99" s="20">
        <v>51</v>
      </c>
      <c r="H99" s="20">
        <v>29.85</v>
      </c>
      <c r="I99" s="20">
        <v>50.1</v>
      </c>
      <c r="J99" s="20">
        <v>49.5</v>
      </c>
      <c r="K99" s="20">
        <v>47.5</v>
      </c>
      <c r="L99" s="20">
        <v>49.9</v>
      </c>
      <c r="M99" s="20">
        <v>49.4</v>
      </c>
      <c r="N99" s="20">
        <v>49.349999999999994</v>
      </c>
      <c r="O99" s="20">
        <v>30.6</v>
      </c>
      <c r="P99" s="20">
        <v>30.2</v>
      </c>
      <c r="Q99" s="20">
        <v>31.5</v>
      </c>
      <c r="R99" s="21"/>
      <c r="S99" s="21"/>
      <c r="T99" s="21"/>
      <c r="U99" s="21"/>
      <c r="V99" s="21"/>
      <c r="W99" s="21"/>
      <c r="X99" s="21"/>
      <c r="Y99" s="21"/>
    </row>
    <row r="100" spans="1:25" x14ac:dyDescent="0.25">
      <c r="A100" s="16"/>
      <c r="B100" s="16"/>
      <c r="C100" s="22"/>
      <c r="D100" s="22"/>
      <c r="E100" s="22"/>
      <c r="F100" s="19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21"/>
      <c r="S100" s="21"/>
      <c r="T100" s="21"/>
      <c r="U100" s="21"/>
      <c r="V100" s="21"/>
      <c r="W100" s="21"/>
      <c r="X100" s="21"/>
      <c r="Y100" s="21"/>
    </row>
    <row r="101" spans="1:25" x14ac:dyDescent="0.25">
      <c r="A101" s="16">
        <v>91</v>
      </c>
      <c r="B101" s="16" t="s">
        <v>56</v>
      </c>
      <c r="C101" s="17">
        <v>0.15</v>
      </c>
      <c r="D101" s="17">
        <v>0.05</v>
      </c>
      <c r="E101" s="18">
        <f t="shared" ref="E101:E110" si="9">C101-D101</f>
        <v>9.9999999999999992E-2</v>
      </c>
      <c r="F101" s="19">
        <v>10</v>
      </c>
      <c r="G101" s="20">
        <v>50.85</v>
      </c>
      <c r="H101" s="20">
        <v>29.950000000000003</v>
      </c>
      <c r="I101" s="20">
        <v>50</v>
      </c>
      <c r="J101" s="20">
        <v>49.5</v>
      </c>
      <c r="K101" s="20">
        <v>47.3</v>
      </c>
      <c r="L101" s="20">
        <v>49.6</v>
      </c>
      <c r="M101" s="20">
        <v>49.1</v>
      </c>
      <c r="N101" s="20">
        <v>49.15</v>
      </c>
      <c r="O101" s="20">
        <v>30.7</v>
      </c>
      <c r="P101" s="20">
        <v>30.3</v>
      </c>
      <c r="Q101" s="20">
        <v>31.6</v>
      </c>
      <c r="R101" s="21"/>
      <c r="S101" s="21"/>
      <c r="T101" s="21"/>
      <c r="U101" s="21"/>
      <c r="V101" s="21"/>
      <c r="W101" s="21"/>
      <c r="X101" s="21"/>
      <c r="Y101" s="21"/>
    </row>
    <row r="102" spans="1:25" x14ac:dyDescent="0.25">
      <c r="A102" s="16">
        <v>92</v>
      </c>
      <c r="B102" s="16"/>
      <c r="C102" s="17">
        <v>0.15</v>
      </c>
      <c r="D102" s="17">
        <v>0.05</v>
      </c>
      <c r="E102" s="18">
        <f t="shared" si="9"/>
        <v>9.9999999999999992E-2</v>
      </c>
      <c r="F102" s="19">
        <v>10</v>
      </c>
      <c r="G102" s="20">
        <v>51</v>
      </c>
      <c r="H102" s="20">
        <v>30.049999999999997</v>
      </c>
      <c r="I102" s="20">
        <v>50.1</v>
      </c>
      <c r="J102" s="20">
        <v>49.5</v>
      </c>
      <c r="K102" s="20">
        <v>47.4</v>
      </c>
      <c r="L102" s="20">
        <v>49.7</v>
      </c>
      <c r="M102" s="20">
        <v>49.2</v>
      </c>
      <c r="N102" s="20">
        <v>49.25</v>
      </c>
      <c r="O102" s="20">
        <v>30.8</v>
      </c>
      <c r="P102" s="20">
        <v>30.4</v>
      </c>
      <c r="Q102" s="20">
        <v>31.700000000000003</v>
      </c>
      <c r="R102" s="21"/>
      <c r="S102" s="21"/>
      <c r="T102" s="21"/>
      <c r="U102" s="21"/>
      <c r="V102" s="21"/>
      <c r="W102" s="21"/>
      <c r="X102" s="21"/>
      <c r="Y102" s="21"/>
    </row>
    <row r="103" spans="1:25" x14ac:dyDescent="0.25">
      <c r="A103" s="16">
        <v>93</v>
      </c>
      <c r="B103" s="16"/>
      <c r="C103" s="17">
        <v>0.15</v>
      </c>
      <c r="D103" s="17">
        <v>0.05</v>
      </c>
      <c r="E103" s="18">
        <f t="shared" si="9"/>
        <v>9.9999999999999992E-2</v>
      </c>
      <c r="F103" s="19">
        <v>10</v>
      </c>
      <c r="G103" s="20">
        <v>50.8</v>
      </c>
      <c r="H103" s="20">
        <v>29.85</v>
      </c>
      <c r="I103" s="20">
        <v>50.1</v>
      </c>
      <c r="J103" s="20">
        <v>49.5</v>
      </c>
      <c r="K103" s="20">
        <v>47.55</v>
      </c>
      <c r="L103" s="20">
        <v>49.7</v>
      </c>
      <c r="M103" s="20">
        <v>49.2</v>
      </c>
      <c r="N103" s="20">
        <v>49.349999999999994</v>
      </c>
      <c r="O103" s="20">
        <v>30.8</v>
      </c>
      <c r="P103" s="20">
        <v>30.4</v>
      </c>
      <c r="Q103" s="20">
        <v>31.700000000000003</v>
      </c>
      <c r="R103" s="21"/>
      <c r="S103" s="21"/>
      <c r="T103" s="21"/>
      <c r="U103" s="21"/>
      <c r="V103" s="21"/>
      <c r="W103" s="21"/>
      <c r="X103" s="21"/>
      <c r="Y103" s="21"/>
    </row>
    <row r="104" spans="1:25" x14ac:dyDescent="0.25">
      <c r="A104" s="16">
        <v>94</v>
      </c>
      <c r="B104" s="16"/>
      <c r="C104" s="17">
        <v>0.15</v>
      </c>
      <c r="D104" s="17">
        <v>0.05</v>
      </c>
      <c r="E104" s="18">
        <f t="shared" si="9"/>
        <v>9.9999999999999992E-2</v>
      </c>
      <c r="F104" s="19">
        <v>10</v>
      </c>
      <c r="G104" s="20">
        <v>50.7</v>
      </c>
      <c r="H104" s="20">
        <v>29.85</v>
      </c>
      <c r="I104" s="20">
        <v>50</v>
      </c>
      <c r="J104" s="20">
        <v>49.5</v>
      </c>
      <c r="K104" s="20">
        <v>47.349999999999994</v>
      </c>
      <c r="L104" s="20">
        <v>49.6</v>
      </c>
      <c r="M104" s="20">
        <v>49.1</v>
      </c>
      <c r="N104" s="20">
        <v>49.25</v>
      </c>
      <c r="O104" s="20">
        <v>30.7</v>
      </c>
      <c r="P104" s="20">
        <v>30.3</v>
      </c>
      <c r="Q104" s="20">
        <v>31.6</v>
      </c>
      <c r="R104" s="21"/>
      <c r="S104" s="21"/>
      <c r="T104" s="21"/>
      <c r="U104" s="21"/>
      <c r="V104" s="21"/>
      <c r="W104" s="21"/>
      <c r="X104" s="21"/>
      <c r="Y104" s="21"/>
    </row>
    <row r="105" spans="1:25" x14ac:dyDescent="0.25">
      <c r="A105" s="16">
        <v>95</v>
      </c>
      <c r="B105" s="16"/>
      <c r="C105" s="17">
        <v>0.15</v>
      </c>
      <c r="D105" s="17">
        <v>0.05</v>
      </c>
      <c r="E105" s="18">
        <f t="shared" si="9"/>
        <v>9.9999999999999992E-2</v>
      </c>
      <c r="F105" s="19">
        <v>10</v>
      </c>
      <c r="G105" s="20">
        <v>50.7</v>
      </c>
      <c r="H105" s="20">
        <v>29.85</v>
      </c>
      <c r="I105" s="20">
        <v>50.1</v>
      </c>
      <c r="J105" s="20">
        <v>49.5</v>
      </c>
      <c r="K105" s="20">
        <v>47.55</v>
      </c>
      <c r="L105" s="20">
        <v>49.7</v>
      </c>
      <c r="M105" s="20">
        <v>49.2</v>
      </c>
      <c r="N105" s="20">
        <v>49.349999999999994</v>
      </c>
      <c r="O105" s="20">
        <v>30.8</v>
      </c>
      <c r="P105" s="20">
        <v>30.4</v>
      </c>
      <c r="Q105" s="20">
        <v>31.700000000000003</v>
      </c>
      <c r="R105" s="21"/>
      <c r="S105" s="21"/>
      <c r="T105" s="21"/>
      <c r="U105" s="21"/>
      <c r="V105" s="21"/>
      <c r="W105" s="21"/>
      <c r="X105" s="21"/>
      <c r="Y105" s="21"/>
    </row>
    <row r="106" spans="1:25" x14ac:dyDescent="0.25">
      <c r="A106" s="16">
        <v>96</v>
      </c>
      <c r="B106" s="16"/>
      <c r="C106" s="17">
        <v>0.15</v>
      </c>
      <c r="D106" s="17">
        <v>0.05</v>
      </c>
      <c r="E106" s="18">
        <f t="shared" si="9"/>
        <v>9.9999999999999992E-2</v>
      </c>
      <c r="F106" s="19">
        <v>10</v>
      </c>
      <c r="G106" s="20">
        <v>50.9</v>
      </c>
      <c r="H106" s="20">
        <v>29.85</v>
      </c>
      <c r="I106" s="20">
        <v>50.1</v>
      </c>
      <c r="J106" s="20">
        <v>49.5</v>
      </c>
      <c r="K106" s="20">
        <v>47.45</v>
      </c>
      <c r="L106" s="20">
        <v>49.7</v>
      </c>
      <c r="M106" s="20">
        <v>49.2</v>
      </c>
      <c r="N106" s="20">
        <v>49.25</v>
      </c>
      <c r="O106" s="20">
        <v>30.8</v>
      </c>
      <c r="P106" s="20">
        <v>30.4</v>
      </c>
      <c r="Q106" s="20">
        <v>31.700000000000003</v>
      </c>
      <c r="R106" s="21"/>
      <c r="S106" s="21"/>
      <c r="T106" s="21"/>
      <c r="U106" s="21"/>
      <c r="V106" s="21"/>
      <c r="W106" s="21"/>
      <c r="X106" s="21"/>
      <c r="Y106" s="21"/>
    </row>
    <row r="107" spans="1:25" x14ac:dyDescent="0.25">
      <c r="A107" s="16">
        <v>97</v>
      </c>
      <c r="B107" s="16"/>
      <c r="C107" s="17">
        <v>0.15</v>
      </c>
      <c r="D107" s="17">
        <v>0.05</v>
      </c>
      <c r="E107" s="18">
        <f t="shared" si="9"/>
        <v>9.9999999999999992E-2</v>
      </c>
      <c r="F107" s="19">
        <v>10</v>
      </c>
      <c r="G107" s="20">
        <v>51.05</v>
      </c>
      <c r="H107" s="20">
        <v>29.85</v>
      </c>
      <c r="I107" s="20">
        <v>50.1</v>
      </c>
      <c r="J107" s="20">
        <v>49.5</v>
      </c>
      <c r="K107" s="20">
        <v>47.45</v>
      </c>
      <c r="L107" s="20">
        <v>49.7</v>
      </c>
      <c r="M107" s="20">
        <v>49.2</v>
      </c>
      <c r="N107" s="20">
        <v>49.349999999999994</v>
      </c>
      <c r="O107" s="20">
        <v>31</v>
      </c>
      <c r="P107" s="20">
        <v>30.4</v>
      </c>
      <c r="Q107" s="20">
        <v>31.700000000000003</v>
      </c>
      <c r="R107" s="21"/>
      <c r="S107" s="21"/>
      <c r="T107" s="21"/>
      <c r="U107" s="21"/>
      <c r="V107" s="21"/>
      <c r="W107" s="21"/>
      <c r="X107" s="21"/>
      <c r="Y107" s="21"/>
    </row>
    <row r="108" spans="1:25" x14ac:dyDescent="0.25">
      <c r="A108" s="16">
        <v>98</v>
      </c>
      <c r="B108" s="16"/>
      <c r="C108" s="17">
        <v>0.15</v>
      </c>
      <c r="D108" s="17">
        <v>0.05</v>
      </c>
      <c r="E108" s="18">
        <f t="shared" si="9"/>
        <v>9.9999999999999992E-2</v>
      </c>
      <c r="F108" s="19">
        <v>10</v>
      </c>
      <c r="G108" s="20">
        <v>50.9</v>
      </c>
      <c r="H108" s="20">
        <v>29.75</v>
      </c>
      <c r="I108" s="20">
        <v>50.1</v>
      </c>
      <c r="J108" s="20">
        <v>49.5</v>
      </c>
      <c r="K108" s="20">
        <v>47.650000000000006</v>
      </c>
      <c r="L108" s="20">
        <v>49.7</v>
      </c>
      <c r="M108" s="20">
        <v>49.4</v>
      </c>
      <c r="N108" s="20">
        <v>49.349999999999994</v>
      </c>
      <c r="O108" s="20">
        <v>31</v>
      </c>
      <c r="P108" s="20">
        <v>30.4</v>
      </c>
      <c r="Q108" s="20">
        <v>31.700000000000003</v>
      </c>
      <c r="R108" s="21"/>
      <c r="S108" s="21"/>
      <c r="T108" s="21"/>
      <c r="U108" s="21"/>
      <c r="V108" s="21"/>
      <c r="W108" s="21"/>
      <c r="X108" s="21"/>
      <c r="Y108" s="21"/>
    </row>
    <row r="109" spans="1:25" x14ac:dyDescent="0.25">
      <c r="A109" s="16">
        <v>99</v>
      </c>
      <c r="B109" s="16"/>
      <c r="C109" s="17">
        <v>0.15</v>
      </c>
      <c r="D109" s="17">
        <v>0.05</v>
      </c>
      <c r="E109" s="18">
        <f t="shared" si="9"/>
        <v>9.9999999999999992E-2</v>
      </c>
      <c r="F109" s="19">
        <v>10</v>
      </c>
      <c r="G109" s="20">
        <v>50.8</v>
      </c>
      <c r="H109" s="20">
        <v>29.75</v>
      </c>
      <c r="I109" s="20">
        <v>50.1</v>
      </c>
      <c r="J109" s="20">
        <v>49.5</v>
      </c>
      <c r="K109" s="20">
        <v>47.55</v>
      </c>
      <c r="L109" s="20">
        <v>49.7</v>
      </c>
      <c r="M109" s="20">
        <v>49.2</v>
      </c>
      <c r="N109" s="20">
        <v>49.349999999999994</v>
      </c>
      <c r="O109" s="20">
        <v>31</v>
      </c>
      <c r="P109" s="20">
        <v>30.4</v>
      </c>
      <c r="Q109" s="20">
        <v>31.6</v>
      </c>
      <c r="R109" s="21"/>
      <c r="S109" s="21"/>
      <c r="T109" s="21"/>
      <c r="U109" s="21"/>
      <c r="V109" s="21"/>
      <c r="W109" s="21"/>
      <c r="X109" s="21"/>
      <c r="Y109" s="21"/>
    </row>
    <row r="110" spans="1:25" x14ac:dyDescent="0.25">
      <c r="A110" s="16">
        <v>100</v>
      </c>
      <c r="B110" s="16"/>
      <c r="C110" s="17">
        <v>0.15</v>
      </c>
      <c r="D110" s="17">
        <v>0.05</v>
      </c>
      <c r="E110" s="18">
        <f t="shared" si="9"/>
        <v>9.9999999999999992E-2</v>
      </c>
      <c r="F110" s="19">
        <v>10</v>
      </c>
      <c r="G110" s="20">
        <v>50.7</v>
      </c>
      <c r="H110" s="20">
        <v>29.85</v>
      </c>
      <c r="I110" s="20">
        <v>50.1</v>
      </c>
      <c r="J110" s="20">
        <v>49.5</v>
      </c>
      <c r="K110" s="20">
        <v>47.55</v>
      </c>
      <c r="L110" s="20">
        <v>49.7</v>
      </c>
      <c r="M110" s="20">
        <v>49.2</v>
      </c>
      <c r="N110" s="20">
        <v>49.349999999999994</v>
      </c>
      <c r="O110" s="20">
        <v>30.8</v>
      </c>
      <c r="P110" s="20">
        <v>30.4</v>
      </c>
      <c r="Q110" s="20">
        <v>31.6</v>
      </c>
      <c r="R110" s="21"/>
      <c r="S110" s="21"/>
      <c r="T110" s="21"/>
      <c r="U110" s="21"/>
      <c r="V110" s="21"/>
      <c r="W110" s="21"/>
      <c r="X110" s="21"/>
      <c r="Y110" s="21"/>
    </row>
    <row r="111" spans="1:25" x14ac:dyDescent="0.25">
      <c r="A111" s="16"/>
      <c r="B111" s="16"/>
      <c r="C111" s="22"/>
      <c r="D111" s="22"/>
      <c r="E111" s="22"/>
      <c r="F111" s="19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21"/>
      <c r="S111" s="21"/>
      <c r="T111" s="21"/>
      <c r="U111" s="21"/>
      <c r="V111" s="21"/>
      <c r="W111" s="21"/>
      <c r="X111" s="21"/>
      <c r="Y111" s="21"/>
    </row>
    <row r="112" spans="1:25" x14ac:dyDescent="0.25">
      <c r="A112" s="16">
        <v>101</v>
      </c>
      <c r="B112" s="16" t="s">
        <v>57</v>
      </c>
      <c r="C112" s="17">
        <v>0.14499999999999999</v>
      </c>
      <c r="D112" s="17">
        <v>0.1</v>
      </c>
      <c r="E112" s="18">
        <f t="shared" ref="E112:E121" si="10">C112-D112</f>
        <v>4.4999999999999984E-2</v>
      </c>
      <c r="F112" s="19">
        <v>5</v>
      </c>
      <c r="G112" s="20">
        <v>51.05</v>
      </c>
      <c r="H112" s="20">
        <v>29.35</v>
      </c>
      <c r="I112" s="20">
        <v>50.1</v>
      </c>
      <c r="J112" s="20">
        <v>49.5</v>
      </c>
      <c r="K112" s="20">
        <v>47.55</v>
      </c>
      <c r="L112" s="20">
        <v>49.7</v>
      </c>
      <c r="M112" s="20">
        <v>49.4</v>
      </c>
      <c r="N112" s="20">
        <v>49.349999999999994</v>
      </c>
      <c r="O112" s="20">
        <v>30.8</v>
      </c>
      <c r="P112" s="20">
        <v>30.8</v>
      </c>
      <c r="Q112" s="20">
        <v>31.299999999999997</v>
      </c>
      <c r="R112" s="21"/>
      <c r="S112" s="21"/>
      <c r="T112" s="21"/>
      <c r="U112" s="21"/>
      <c r="V112" s="21"/>
      <c r="W112" s="21"/>
      <c r="X112" s="21"/>
      <c r="Y112" s="21"/>
    </row>
    <row r="113" spans="1:25" x14ac:dyDescent="0.25">
      <c r="A113" s="16">
        <v>102</v>
      </c>
      <c r="B113" s="16"/>
      <c r="C113" s="17">
        <v>0.14499999999999999</v>
      </c>
      <c r="D113" s="17">
        <v>0.1</v>
      </c>
      <c r="E113" s="18">
        <f t="shared" si="10"/>
        <v>4.4999999999999984E-2</v>
      </c>
      <c r="F113" s="19">
        <v>5</v>
      </c>
      <c r="G113" s="20">
        <v>50.8</v>
      </c>
      <c r="H113" s="20">
        <v>29.450000000000003</v>
      </c>
      <c r="I113" s="20">
        <v>50.1</v>
      </c>
      <c r="J113" s="20">
        <v>49.5</v>
      </c>
      <c r="K113" s="20">
        <v>47.55</v>
      </c>
      <c r="L113" s="20">
        <v>49.5</v>
      </c>
      <c r="M113" s="20">
        <v>49.4</v>
      </c>
      <c r="N113" s="20">
        <v>49.349999999999994</v>
      </c>
      <c r="O113" s="20">
        <v>30.8</v>
      </c>
      <c r="P113" s="20">
        <v>30.8</v>
      </c>
      <c r="Q113" s="20">
        <v>31.299999999999997</v>
      </c>
      <c r="R113" s="21"/>
      <c r="S113" s="21"/>
      <c r="T113" s="21"/>
      <c r="U113" s="21"/>
      <c r="V113" s="21"/>
      <c r="W113" s="21"/>
      <c r="X113" s="21"/>
      <c r="Y113" s="21"/>
    </row>
    <row r="114" spans="1:25" x14ac:dyDescent="0.25">
      <c r="A114" s="16">
        <v>103</v>
      </c>
      <c r="B114" s="16"/>
      <c r="C114" s="17">
        <v>0.14499999999999999</v>
      </c>
      <c r="D114" s="17">
        <v>0.1</v>
      </c>
      <c r="E114" s="18">
        <f t="shared" si="10"/>
        <v>4.4999999999999984E-2</v>
      </c>
      <c r="F114" s="19">
        <v>5</v>
      </c>
      <c r="G114" s="20">
        <v>50.65</v>
      </c>
      <c r="H114" s="20">
        <v>29.450000000000003</v>
      </c>
      <c r="I114" s="20">
        <v>50.1</v>
      </c>
      <c r="J114" s="20">
        <v>49.5</v>
      </c>
      <c r="K114" s="20">
        <v>47.35</v>
      </c>
      <c r="L114" s="20">
        <v>49.5</v>
      </c>
      <c r="M114" s="20">
        <v>49.4</v>
      </c>
      <c r="N114" s="20">
        <v>49.349999999999994</v>
      </c>
      <c r="O114" s="20">
        <v>30.8</v>
      </c>
      <c r="P114" s="20">
        <v>30.8</v>
      </c>
      <c r="Q114" s="20">
        <v>31.299999999999997</v>
      </c>
      <c r="R114" s="21"/>
      <c r="S114" s="21"/>
      <c r="T114" s="21"/>
      <c r="U114" s="21"/>
      <c r="V114" s="21"/>
      <c r="W114" s="21"/>
      <c r="X114" s="21"/>
      <c r="Y114" s="21"/>
    </row>
    <row r="115" spans="1:25" x14ac:dyDescent="0.25">
      <c r="A115" s="16">
        <v>104</v>
      </c>
      <c r="B115" s="16"/>
      <c r="C115" s="17">
        <v>0.14499999999999999</v>
      </c>
      <c r="D115" s="17">
        <v>0.1</v>
      </c>
      <c r="E115" s="18">
        <f t="shared" si="10"/>
        <v>4.4999999999999984E-2</v>
      </c>
      <c r="F115" s="19">
        <v>5</v>
      </c>
      <c r="G115" s="20">
        <v>50.7</v>
      </c>
      <c r="H115" s="20">
        <v>29.450000000000003</v>
      </c>
      <c r="I115" s="20">
        <v>49.9</v>
      </c>
      <c r="J115" s="20">
        <v>49.5</v>
      </c>
      <c r="K115" s="20">
        <v>47.35</v>
      </c>
      <c r="L115" s="20">
        <v>49.5</v>
      </c>
      <c r="M115" s="20">
        <v>49.4</v>
      </c>
      <c r="N115" s="20">
        <v>49.25</v>
      </c>
      <c r="O115" s="20">
        <v>30.8</v>
      </c>
      <c r="P115" s="20">
        <v>30.8</v>
      </c>
      <c r="Q115" s="20">
        <v>31.299999999999997</v>
      </c>
      <c r="R115" s="21"/>
      <c r="S115" s="21"/>
      <c r="T115" s="21"/>
      <c r="U115" s="21"/>
      <c r="V115" s="21"/>
      <c r="W115" s="21"/>
      <c r="X115" s="21"/>
      <c r="Y115" s="21"/>
    </row>
    <row r="116" spans="1:25" x14ac:dyDescent="0.25">
      <c r="A116" s="16">
        <v>105</v>
      </c>
      <c r="B116" s="16"/>
      <c r="C116" s="17">
        <v>0.14499999999999999</v>
      </c>
      <c r="D116" s="17">
        <v>0.1</v>
      </c>
      <c r="E116" s="18">
        <f t="shared" si="10"/>
        <v>4.4999999999999984E-2</v>
      </c>
      <c r="F116" s="19">
        <v>5</v>
      </c>
      <c r="G116" s="20">
        <v>50.849999999999994</v>
      </c>
      <c r="H116" s="20">
        <v>29.299999999999997</v>
      </c>
      <c r="I116" s="20">
        <v>49.9</v>
      </c>
      <c r="J116" s="20">
        <v>49.5</v>
      </c>
      <c r="K116" s="20">
        <v>47.35</v>
      </c>
      <c r="L116" s="20">
        <v>49.5</v>
      </c>
      <c r="M116" s="20">
        <v>49.4</v>
      </c>
      <c r="N116" s="20">
        <v>49.25</v>
      </c>
      <c r="O116" s="20">
        <v>30.8</v>
      </c>
      <c r="P116" s="20">
        <v>30.8</v>
      </c>
      <c r="Q116" s="20">
        <v>31.299999999999997</v>
      </c>
      <c r="R116" s="21"/>
      <c r="S116" s="21"/>
      <c r="T116" s="21"/>
      <c r="U116" s="21"/>
      <c r="V116" s="21"/>
      <c r="W116" s="21"/>
      <c r="X116" s="21"/>
      <c r="Y116" s="21"/>
    </row>
    <row r="117" spans="1:25" x14ac:dyDescent="0.25">
      <c r="A117" s="16">
        <v>106</v>
      </c>
      <c r="B117" s="16"/>
      <c r="C117" s="17">
        <v>0.14499999999999999</v>
      </c>
      <c r="D117" s="17">
        <v>0.1</v>
      </c>
      <c r="E117" s="18">
        <f t="shared" si="10"/>
        <v>4.4999999999999984E-2</v>
      </c>
      <c r="F117" s="19">
        <v>5</v>
      </c>
      <c r="G117" s="20">
        <v>50.8</v>
      </c>
      <c r="H117" s="20">
        <v>29.2</v>
      </c>
      <c r="I117" s="20">
        <v>49.9</v>
      </c>
      <c r="J117" s="20">
        <v>49.5</v>
      </c>
      <c r="K117" s="20">
        <v>47.35</v>
      </c>
      <c r="L117" s="20">
        <v>49.5</v>
      </c>
      <c r="M117" s="20">
        <v>49.4</v>
      </c>
      <c r="N117" s="20">
        <v>49.25</v>
      </c>
      <c r="O117" s="20">
        <v>30.8</v>
      </c>
      <c r="P117" s="20">
        <v>30.8</v>
      </c>
      <c r="Q117" s="20">
        <v>31.299999999999997</v>
      </c>
      <c r="R117" s="21"/>
      <c r="S117" s="21"/>
      <c r="T117" s="21"/>
      <c r="U117" s="21"/>
      <c r="V117" s="21"/>
      <c r="W117" s="21"/>
      <c r="X117" s="21"/>
      <c r="Y117" s="21"/>
    </row>
    <row r="118" spans="1:25" x14ac:dyDescent="0.25">
      <c r="A118" s="16">
        <v>107</v>
      </c>
      <c r="B118" s="16"/>
      <c r="C118" s="17">
        <v>0.14499999999999999</v>
      </c>
      <c r="D118" s="17">
        <v>0.1</v>
      </c>
      <c r="E118" s="18">
        <f t="shared" si="10"/>
        <v>4.4999999999999984E-2</v>
      </c>
      <c r="F118" s="19">
        <v>5</v>
      </c>
      <c r="G118" s="20">
        <v>50.55</v>
      </c>
      <c r="H118" s="20">
        <v>29.299999999999997</v>
      </c>
      <c r="I118" s="20">
        <v>49.9</v>
      </c>
      <c r="J118" s="20">
        <v>49.5</v>
      </c>
      <c r="K118" s="20">
        <v>47.35</v>
      </c>
      <c r="L118" s="20">
        <v>49.5</v>
      </c>
      <c r="M118" s="20">
        <v>49.4</v>
      </c>
      <c r="N118" s="20">
        <v>49.25</v>
      </c>
      <c r="O118" s="20">
        <v>30.8</v>
      </c>
      <c r="P118" s="20">
        <v>30.6</v>
      </c>
      <c r="Q118" s="20">
        <v>31.299999999999997</v>
      </c>
      <c r="R118" s="21"/>
      <c r="S118" s="21"/>
      <c r="T118" s="21"/>
      <c r="U118" s="21"/>
      <c r="V118" s="21"/>
      <c r="W118" s="21"/>
      <c r="X118" s="21"/>
      <c r="Y118" s="21"/>
    </row>
    <row r="119" spans="1:25" x14ac:dyDescent="0.25">
      <c r="A119" s="16">
        <v>108</v>
      </c>
      <c r="B119" s="16"/>
      <c r="C119" s="17">
        <v>0.14499999999999999</v>
      </c>
      <c r="D119" s="17">
        <v>0.1</v>
      </c>
      <c r="E119" s="18">
        <f t="shared" si="10"/>
        <v>4.4999999999999984E-2</v>
      </c>
      <c r="F119" s="19">
        <v>5</v>
      </c>
      <c r="G119" s="20">
        <v>50.8</v>
      </c>
      <c r="H119" s="20">
        <v>29.450000000000003</v>
      </c>
      <c r="I119" s="20">
        <v>49.9</v>
      </c>
      <c r="J119" s="20">
        <v>49.5</v>
      </c>
      <c r="K119" s="20">
        <v>47.35</v>
      </c>
      <c r="L119" s="20">
        <v>49.5</v>
      </c>
      <c r="M119" s="20">
        <v>49.4</v>
      </c>
      <c r="N119" s="20">
        <v>49.150000000000006</v>
      </c>
      <c r="O119" s="20">
        <v>30.8</v>
      </c>
      <c r="P119" s="20">
        <v>30.6</v>
      </c>
      <c r="Q119" s="20">
        <v>31.2</v>
      </c>
      <c r="R119" s="21"/>
      <c r="S119" s="21"/>
      <c r="T119" s="21"/>
      <c r="U119" s="21"/>
      <c r="V119" s="21"/>
      <c r="W119" s="21"/>
      <c r="X119" s="21"/>
      <c r="Y119" s="21"/>
    </row>
    <row r="120" spans="1:25" x14ac:dyDescent="0.25">
      <c r="A120" s="16">
        <v>109</v>
      </c>
      <c r="B120" s="16"/>
      <c r="C120" s="17">
        <v>0.14499999999999999</v>
      </c>
      <c r="D120" s="17">
        <v>0.1</v>
      </c>
      <c r="E120" s="18">
        <f t="shared" si="10"/>
        <v>4.4999999999999984E-2</v>
      </c>
      <c r="F120" s="19">
        <v>5</v>
      </c>
      <c r="G120" s="20">
        <v>50.7</v>
      </c>
      <c r="H120" s="20">
        <v>29.450000000000003</v>
      </c>
      <c r="I120" s="20">
        <v>49.9</v>
      </c>
      <c r="J120" s="20">
        <v>49.5</v>
      </c>
      <c r="K120" s="20">
        <v>47.35</v>
      </c>
      <c r="L120" s="20">
        <v>49.5</v>
      </c>
      <c r="M120" s="20">
        <v>49.4</v>
      </c>
      <c r="N120" s="20">
        <v>49.150000000000006</v>
      </c>
      <c r="O120" s="20">
        <v>30.8</v>
      </c>
      <c r="P120" s="20">
        <v>30.6</v>
      </c>
      <c r="Q120" s="20">
        <v>31.2</v>
      </c>
      <c r="R120" s="21"/>
      <c r="S120" s="21"/>
      <c r="T120" s="21"/>
      <c r="U120" s="21"/>
      <c r="V120" s="21"/>
      <c r="W120" s="21"/>
      <c r="X120" s="21"/>
      <c r="Y120" s="21"/>
    </row>
    <row r="121" spans="1:25" x14ac:dyDescent="0.25">
      <c r="A121" s="16">
        <v>110</v>
      </c>
      <c r="B121" s="16"/>
      <c r="C121" s="17">
        <v>0.14499999999999999</v>
      </c>
      <c r="D121" s="17">
        <v>0.1</v>
      </c>
      <c r="E121" s="18">
        <f t="shared" si="10"/>
        <v>4.4999999999999984E-2</v>
      </c>
      <c r="F121" s="19">
        <v>5</v>
      </c>
      <c r="G121" s="20">
        <v>50.8</v>
      </c>
      <c r="H121" s="20">
        <v>29.450000000000003</v>
      </c>
      <c r="I121" s="20">
        <v>49.9</v>
      </c>
      <c r="J121" s="20">
        <v>49.5</v>
      </c>
      <c r="K121" s="20">
        <v>47.35</v>
      </c>
      <c r="L121" s="20">
        <v>49.5</v>
      </c>
      <c r="M121" s="20">
        <v>49.4</v>
      </c>
      <c r="N121" s="20">
        <v>49.150000000000006</v>
      </c>
      <c r="O121" s="20">
        <v>30.8</v>
      </c>
      <c r="P121" s="20">
        <v>30.6</v>
      </c>
      <c r="Q121" s="20">
        <v>31.2</v>
      </c>
      <c r="R121" s="21"/>
      <c r="S121" s="21"/>
      <c r="T121" s="21"/>
      <c r="U121" s="21"/>
      <c r="V121" s="21"/>
      <c r="W121" s="21"/>
      <c r="X121" s="21"/>
      <c r="Y121" s="21"/>
    </row>
    <row r="122" spans="1:25" x14ac:dyDescent="0.25">
      <c r="A122" s="16"/>
      <c r="B122" s="16"/>
      <c r="C122" s="22"/>
      <c r="D122" s="22"/>
      <c r="E122" s="22"/>
      <c r="F122" s="19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21"/>
      <c r="S122" s="21"/>
      <c r="T122" s="21"/>
      <c r="U122" s="21"/>
      <c r="V122" s="21"/>
      <c r="W122" s="21"/>
      <c r="X122" s="21"/>
      <c r="Y122" s="21"/>
    </row>
    <row r="123" spans="1:25" x14ac:dyDescent="0.25">
      <c r="A123" s="16">
        <v>111</v>
      </c>
      <c r="B123" s="23" t="s">
        <v>58</v>
      </c>
      <c r="C123" s="17">
        <v>0.5</v>
      </c>
      <c r="D123" s="17">
        <v>0.1</v>
      </c>
      <c r="E123" s="18">
        <f t="shared" ref="E123:E132" si="11">C123-D123</f>
        <v>0.4</v>
      </c>
      <c r="F123" s="24">
        <v>20</v>
      </c>
      <c r="G123" s="20">
        <v>51.3</v>
      </c>
      <c r="H123" s="20">
        <v>29.7</v>
      </c>
      <c r="I123" s="20">
        <v>50.4</v>
      </c>
      <c r="J123" s="20">
        <v>49.9</v>
      </c>
      <c r="K123" s="20">
        <v>47.95</v>
      </c>
      <c r="L123" s="20"/>
      <c r="M123" s="20"/>
      <c r="N123" s="20"/>
      <c r="O123" s="20"/>
      <c r="P123" s="20"/>
      <c r="Q123" s="20"/>
      <c r="R123" s="21"/>
      <c r="S123" s="21"/>
      <c r="T123" s="21"/>
      <c r="U123" s="21"/>
      <c r="V123" s="21"/>
      <c r="W123" s="21"/>
      <c r="X123" s="21"/>
      <c r="Y123" s="21"/>
    </row>
    <row r="124" spans="1:25" x14ac:dyDescent="0.25">
      <c r="A124" s="16">
        <v>112</v>
      </c>
      <c r="B124" s="16"/>
      <c r="C124" s="17">
        <v>0.5</v>
      </c>
      <c r="D124" s="17">
        <v>0.1</v>
      </c>
      <c r="E124" s="18">
        <f t="shared" si="11"/>
        <v>0.4</v>
      </c>
      <c r="F124" s="24">
        <v>20</v>
      </c>
      <c r="G124" s="20">
        <v>51.4</v>
      </c>
      <c r="H124" s="20">
        <v>29.7</v>
      </c>
      <c r="I124" s="20">
        <v>50.4</v>
      </c>
      <c r="J124" s="20">
        <v>49.9</v>
      </c>
      <c r="K124" s="20">
        <v>47.95</v>
      </c>
      <c r="L124" s="20"/>
      <c r="M124" s="20"/>
      <c r="N124" s="20"/>
      <c r="O124" s="20"/>
      <c r="P124" s="20"/>
      <c r="Q124" s="20"/>
      <c r="R124" s="21"/>
      <c r="S124" s="21"/>
      <c r="T124" s="21"/>
      <c r="U124" s="21"/>
      <c r="V124" s="21"/>
      <c r="W124" s="21"/>
      <c r="X124" s="21"/>
      <c r="Y124" s="21"/>
    </row>
    <row r="125" spans="1:25" x14ac:dyDescent="0.25">
      <c r="A125" s="16">
        <v>113</v>
      </c>
      <c r="B125" s="16"/>
      <c r="C125" s="17">
        <v>0.5</v>
      </c>
      <c r="D125" s="17">
        <v>0.1</v>
      </c>
      <c r="E125" s="18">
        <f t="shared" si="11"/>
        <v>0.4</v>
      </c>
      <c r="F125" s="24">
        <v>20</v>
      </c>
      <c r="G125" s="20">
        <v>51.2</v>
      </c>
      <c r="H125" s="20">
        <v>29.6</v>
      </c>
      <c r="I125" s="20">
        <v>50.3</v>
      </c>
      <c r="J125" s="20">
        <v>49.8</v>
      </c>
      <c r="K125" s="20">
        <v>47.75</v>
      </c>
      <c r="L125" s="20"/>
      <c r="M125" s="20"/>
      <c r="N125" s="20"/>
      <c r="O125" s="20"/>
      <c r="P125" s="20"/>
      <c r="Q125" s="20"/>
      <c r="R125" s="21"/>
      <c r="S125" s="21"/>
      <c r="T125" s="21"/>
      <c r="U125" s="21"/>
      <c r="V125" s="21"/>
      <c r="W125" s="21"/>
      <c r="X125" s="21"/>
      <c r="Y125" s="21"/>
    </row>
    <row r="126" spans="1:25" x14ac:dyDescent="0.25">
      <c r="A126" s="16">
        <v>114</v>
      </c>
      <c r="B126" s="16"/>
      <c r="C126" s="17">
        <v>0.5</v>
      </c>
      <c r="D126" s="17">
        <v>0.1</v>
      </c>
      <c r="E126" s="18">
        <f t="shared" si="11"/>
        <v>0.4</v>
      </c>
      <c r="F126" s="24">
        <v>20</v>
      </c>
      <c r="G126" s="20">
        <v>51.2</v>
      </c>
      <c r="H126" s="20">
        <v>29.6</v>
      </c>
      <c r="I126" s="20">
        <v>50.3</v>
      </c>
      <c r="J126" s="20">
        <v>49.8</v>
      </c>
      <c r="K126" s="20">
        <v>47.95</v>
      </c>
      <c r="L126" s="20"/>
      <c r="M126" s="20"/>
      <c r="N126" s="20"/>
      <c r="O126" s="20"/>
      <c r="P126" s="20"/>
      <c r="Q126" s="20"/>
      <c r="R126" s="21"/>
      <c r="S126" s="21"/>
      <c r="T126" s="21"/>
      <c r="U126" s="21"/>
      <c r="V126" s="21"/>
      <c r="W126" s="21"/>
      <c r="X126" s="21"/>
      <c r="Y126" s="21"/>
    </row>
    <row r="127" spans="1:25" x14ac:dyDescent="0.25">
      <c r="A127" s="16">
        <v>115</v>
      </c>
      <c r="B127" s="16"/>
      <c r="C127" s="17">
        <v>0.5</v>
      </c>
      <c r="D127" s="17">
        <v>0.1</v>
      </c>
      <c r="E127" s="18">
        <f t="shared" si="11"/>
        <v>0.4</v>
      </c>
      <c r="F127" s="24">
        <v>20</v>
      </c>
      <c r="G127" s="20">
        <v>51.25</v>
      </c>
      <c r="H127" s="20">
        <v>29.6</v>
      </c>
      <c r="I127" s="20">
        <v>50.3</v>
      </c>
      <c r="J127" s="20">
        <v>49.8</v>
      </c>
      <c r="K127" s="20">
        <v>47.95</v>
      </c>
      <c r="L127" s="20"/>
      <c r="M127" s="20"/>
      <c r="N127" s="20"/>
      <c r="O127" s="20"/>
      <c r="P127" s="20"/>
      <c r="Q127" s="20"/>
      <c r="R127" s="21"/>
      <c r="S127" s="21"/>
      <c r="T127" s="21"/>
      <c r="U127" s="21"/>
      <c r="V127" s="21"/>
      <c r="W127" s="21"/>
      <c r="X127" s="21"/>
      <c r="Y127" s="21"/>
    </row>
    <row r="128" spans="1:25" x14ac:dyDescent="0.25">
      <c r="A128" s="16">
        <v>116</v>
      </c>
      <c r="B128" s="16"/>
      <c r="C128" s="17">
        <v>0.5</v>
      </c>
      <c r="D128" s="17">
        <v>0.1</v>
      </c>
      <c r="E128" s="18">
        <f t="shared" si="11"/>
        <v>0.4</v>
      </c>
      <c r="F128" s="24">
        <v>20</v>
      </c>
      <c r="G128" s="20">
        <v>51.349999999999994</v>
      </c>
      <c r="H128" s="20">
        <v>29.6</v>
      </c>
      <c r="I128" s="20">
        <v>50.5</v>
      </c>
      <c r="J128" s="20">
        <v>50</v>
      </c>
      <c r="K128" s="20">
        <v>48.05</v>
      </c>
      <c r="L128" s="20"/>
      <c r="M128" s="20"/>
      <c r="N128" s="20"/>
      <c r="O128" s="20"/>
      <c r="P128" s="20"/>
      <c r="Q128" s="20"/>
      <c r="R128" s="21"/>
      <c r="S128" s="21"/>
      <c r="T128" s="21"/>
      <c r="U128" s="21"/>
      <c r="V128" s="21"/>
      <c r="W128" s="21"/>
      <c r="X128" s="21"/>
      <c r="Y128" s="21"/>
    </row>
    <row r="129" spans="1:25" x14ac:dyDescent="0.25">
      <c r="A129" s="16">
        <v>117</v>
      </c>
      <c r="B129" s="16"/>
      <c r="C129" s="17">
        <v>0.5</v>
      </c>
      <c r="D129" s="17">
        <v>0.1</v>
      </c>
      <c r="E129" s="18">
        <f t="shared" si="11"/>
        <v>0.4</v>
      </c>
      <c r="F129" s="24">
        <v>20</v>
      </c>
      <c r="G129" s="20">
        <v>51.3</v>
      </c>
      <c r="H129" s="20">
        <v>29.6</v>
      </c>
      <c r="I129" s="20">
        <v>50.5</v>
      </c>
      <c r="J129" s="20">
        <v>50</v>
      </c>
      <c r="K129" s="20">
        <v>48.05</v>
      </c>
      <c r="L129" s="20"/>
      <c r="M129" s="20"/>
      <c r="N129" s="20"/>
      <c r="O129" s="20"/>
      <c r="P129" s="20"/>
      <c r="Q129" s="20"/>
      <c r="R129" s="21"/>
      <c r="S129" s="21"/>
      <c r="T129" s="21"/>
      <c r="U129" s="21"/>
      <c r="V129" s="21"/>
      <c r="W129" s="21"/>
      <c r="X129" s="21"/>
      <c r="Y129" s="21"/>
    </row>
    <row r="130" spans="1:25" x14ac:dyDescent="0.25">
      <c r="A130" s="16">
        <v>118</v>
      </c>
      <c r="B130" s="16"/>
      <c r="C130" s="17">
        <v>0.5</v>
      </c>
      <c r="D130" s="17">
        <v>0.1</v>
      </c>
      <c r="E130" s="18">
        <f t="shared" si="11"/>
        <v>0.4</v>
      </c>
      <c r="F130" s="24">
        <v>20</v>
      </c>
      <c r="G130" s="20">
        <v>51.2</v>
      </c>
      <c r="H130" s="20">
        <v>29.6</v>
      </c>
      <c r="I130" s="20">
        <v>50.5</v>
      </c>
      <c r="J130" s="20">
        <v>50</v>
      </c>
      <c r="K130" s="20">
        <v>47.95</v>
      </c>
      <c r="L130" s="20"/>
      <c r="M130" s="20"/>
      <c r="N130" s="20"/>
      <c r="O130" s="20"/>
      <c r="P130" s="20"/>
      <c r="Q130" s="20"/>
      <c r="R130" s="21"/>
      <c r="S130" s="21"/>
      <c r="T130" s="21"/>
      <c r="U130" s="21"/>
      <c r="V130" s="21"/>
      <c r="W130" s="21"/>
      <c r="X130" s="21"/>
      <c r="Y130" s="21"/>
    </row>
    <row r="131" spans="1:25" x14ac:dyDescent="0.25">
      <c r="A131" s="16">
        <v>119</v>
      </c>
      <c r="B131" s="16"/>
      <c r="C131" s="17">
        <v>0.5</v>
      </c>
      <c r="D131" s="17">
        <v>0.1</v>
      </c>
      <c r="E131" s="18">
        <f t="shared" si="11"/>
        <v>0.4</v>
      </c>
      <c r="F131" s="24">
        <v>20</v>
      </c>
      <c r="G131" s="20">
        <v>51.3</v>
      </c>
      <c r="H131" s="20">
        <v>29.6</v>
      </c>
      <c r="I131" s="20">
        <v>50.5</v>
      </c>
      <c r="J131" s="20">
        <v>50</v>
      </c>
      <c r="K131" s="20">
        <v>47.95</v>
      </c>
      <c r="L131" s="20"/>
      <c r="M131" s="20"/>
      <c r="N131" s="20"/>
      <c r="O131" s="20"/>
      <c r="P131" s="20"/>
      <c r="Q131" s="20"/>
      <c r="R131" s="21"/>
      <c r="S131" s="21"/>
      <c r="T131" s="21"/>
      <c r="U131" s="21"/>
      <c r="V131" s="21"/>
      <c r="W131" s="21"/>
      <c r="X131" s="21"/>
      <c r="Y131" s="21"/>
    </row>
    <row r="132" spans="1:25" x14ac:dyDescent="0.25">
      <c r="A132" s="16">
        <v>120</v>
      </c>
      <c r="B132" s="16"/>
      <c r="C132" s="17">
        <v>0.5</v>
      </c>
      <c r="D132" s="17">
        <v>0.1</v>
      </c>
      <c r="E132" s="18">
        <f t="shared" si="11"/>
        <v>0.4</v>
      </c>
      <c r="F132" s="24">
        <v>20</v>
      </c>
      <c r="G132" s="20">
        <v>51.3</v>
      </c>
      <c r="H132" s="20">
        <v>29.6</v>
      </c>
      <c r="I132" s="20">
        <v>50.5</v>
      </c>
      <c r="J132" s="20">
        <v>50</v>
      </c>
      <c r="K132" s="20">
        <v>47.95</v>
      </c>
      <c r="L132" s="20"/>
      <c r="M132" s="20"/>
      <c r="N132" s="20"/>
      <c r="O132" s="20"/>
      <c r="P132" s="20"/>
      <c r="Q132" s="20"/>
      <c r="R132" s="21"/>
      <c r="S132" s="21"/>
      <c r="T132" s="21"/>
      <c r="U132" s="21"/>
      <c r="V132" s="21"/>
      <c r="W132" s="21"/>
      <c r="X132" s="21"/>
      <c r="Y132" s="21"/>
    </row>
    <row r="133" spans="1:25" x14ac:dyDescent="0.25">
      <c r="A133" s="16"/>
      <c r="B133" s="16"/>
      <c r="C133" s="22"/>
      <c r="D133" s="22"/>
      <c r="E133" s="22"/>
      <c r="F133" s="19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21"/>
      <c r="S133" s="21"/>
      <c r="T133" s="21"/>
      <c r="U133" s="21"/>
      <c r="V133" s="21"/>
      <c r="W133" s="21"/>
      <c r="X133" s="21"/>
      <c r="Y133" s="21"/>
    </row>
    <row r="134" spans="1:25" x14ac:dyDescent="0.25">
      <c r="A134" s="16">
        <v>121</v>
      </c>
      <c r="B134" s="16" t="s">
        <v>59</v>
      </c>
      <c r="C134" s="17">
        <v>0.45</v>
      </c>
      <c r="D134" s="17">
        <v>0.1</v>
      </c>
      <c r="E134" s="18">
        <f t="shared" ref="E134:E143" si="12">C134-D134</f>
        <v>0.35</v>
      </c>
      <c r="F134" s="19">
        <v>15</v>
      </c>
      <c r="G134" s="20">
        <v>50.7</v>
      </c>
      <c r="H134" s="20">
        <v>28.700000000000003</v>
      </c>
      <c r="I134" s="20">
        <v>50.6</v>
      </c>
      <c r="J134" s="20">
        <v>50.2</v>
      </c>
      <c r="K134" s="20">
        <v>47.8</v>
      </c>
      <c r="L134" s="20"/>
      <c r="M134" s="20"/>
      <c r="N134" s="20"/>
      <c r="O134" s="20"/>
      <c r="P134" s="20"/>
      <c r="Q134" s="20"/>
      <c r="R134" s="21"/>
      <c r="S134" s="21"/>
      <c r="T134" s="21"/>
      <c r="U134" s="21"/>
      <c r="V134" s="21"/>
      <c r="W134" s="21"/>
      <c r="X134" s="21"/>
      <c r="Y134" s="21"/>
    </row>
    <row r="135" spans="1:25" x14ac:dyDescent="0.25">
      <c r="A135" s="16">
        <v>122</v>
      </c>
      <c r="B135" s="16"/>
      <c r="C135" s="17">
        <v>0.45</v>
      </c>
      <c r="D135" s="17">
        <v>0.1</v>
      </c>
      <c r="E135" s="18">
        <f t="shared" si="12"/>
        <v>0.35</v>
      </c>
      <c r="F135" s="19">
        <v>15</v>
      </c>
      <c r="G135" s="20">
        <v>50.7</v>
      </c>
      <c r="H135" s="20">
        <v>28.5</v>
      </c>
      <c r="I135" s="20">
        <v>50.6</v>
      </c>
      <c r="J135" s="20">
        <v>50.2</v>
      </c>
      <c r="K135" s="20">
        <v>47.7</v>
      </c>
      <c r="L135" s="20"/>
      <c r="M135" s="20"/>
      <c r="N135" s="20"/>
      <c r="O135" s="20"/>
      <c r="P135" s="20"/>
      <c r="Q135" s="20"/>
      <c r="R135" s="21"/>
      <c r="S135" s="21"/>
      <c r="T135" s="21"/>
      <c r="U135" s="21"/>
      <c r="V135" s="21"/>
      <c r="W135" s="21"/>
      <c r="X135" s="21"/>
      <c r="Y135" s="21"/>
    </row>
    <row r="136" spans="1:25" x14ac:dyDescent="0.25">
      <c r="A136" s="16">
        <v>123</v>
      </c>
      <c r="B136" s="16"/>
      <c r="C136" s="17">
        <v>0.45</v>
      </c>
      <c r="D136" s="17">
        <v>0.1</v>
      </c>
      <c r="E136" s="18">
        <f t="shared" si="12"/>
        <v>0.35</v>
      </c>
      <c r="F136" s="19">
        <v>15</v>
      </c>
      <c r="G136" s="20">
        <v>51.1</v>
      </c>
      <c r="H136" s="20">
        <v>28.3</v>
      </c>
      <c r="I136" s="20">
        <v>50.9</v>
      </c>
      <c r="J136" s="20">
        <v>50.5</v>
      </c>
      <c r="K136" s="20">
        <v>47.65</v>
      </c>
      <c r="L136" s="20"/>
      <c r="M136" s="20"/>
      <c r="N136" s="20"/>
      <c r="O136" s="20"/>
      <c r="P136" s="20"/>
      <c r="Q136" s="20"/>
      <c r="R136" s="21"/>
      <c r="S136" s="21"/>
      <c r="T136" s="21"/>
      <c r="U136" s="21"/>
      <c r="V136" s="21"/>
      <c r="W136" s="21"/>
      <c r="X136" s="21"/>
      <c r="Y136" s="21"/>
    </row>
    <row r="137" spans="1:25" x14ac:dyDescent="0.25">
      <c r="A137" s="16">
        <v>124</v>
      </c>
      <c r="B137" s="16"/>
      <c r="C137" s="17">
        <v>0.45</v>
      </c>
      <c r="D137" s="17">
        <v>0.1</v>
      </c>
      <c r="E137" s="18">
        <f t="shared" si="12"/>
        <v>0.35</v>
      </c>
      <c r="F137" s="19">
        <v>15</v>
      </c>
      <c r="G137" s="20">
        <v>51.3</v>
      </c>
      <c r="H137" s="20">
        <v>28.3</v>
      </c>
      <c r="I137" s="20">
        <v>50.9</v>
      </c>
      <c r="J137" s="20">
        <v>50.6</v>
      </c>
      <c r="K137" s="20">
        <v>47.75</v>
      </c>
      <c r="L137" s="20"/>
      <c r="M137" s="20"/>
      <c r="N137" s="20"/>
      <c r="O137" s="20"/>
      <c r="P137" s="20"/>
      <c r="Q137" s="20"/>
      <c r="R137" s="21"/>
      <c r="S137" s="21"/>
      <c r="T137" s="21"/>
      <c r="U137" s="21"/>
      <c r="V137" s="21"/>
      <c r="W137" s="21"/>
      <c r="X137" s="21"/>
      <c r="Y137" s="21"/>
    </row>
    <row r="138" spans="1:25" x14ac:dyDescent="0.25">
      <c r="A138" s="16">
        <v>125</v>
      </c>
      <c r="B138" s="16"/>
      <c r="C138" s="17">
        <v>0.45</v>
      </c>
      <c r="D138" s="17">
        <v>0.1</v>
      </c>
      <c r="E138" s="18">
        <f t="shared" si="12"/>
        <v>0.35</v>
      </c>
      <c r="F138" s="19">
        <v>15</v>
      </c>
      <c r="G138" s="20">
        <v>51.2</v>
      </c>
      <c r="H138" s="20">
        <v>28.2</v>
      </c>
      <c r="I138" s="20">
        <v>50.8</v>
      </c>
      <c r="J138" s="20">
        <v>50.4</v>
      </c>
      <c r="K138" s="20">
        <v>47.599999999999994</v>
      </c>
      <c r="L138" s="20"/>
      <c r="M138" s="20"/>
      <c r="N138" s="20"/>
      <c r="O138" s="20"/>
      <c r="P138" s="20"/>
      <c r="Q138" s="20"/>
      <c r="R138" s="21"/>
      <c r="S138" s="21"/>
      <c r="T138" s="21"/>
      <c r="U138" s="21"/>
      <c r="V138" s="21"/>
      <c r="W138" s="21"/>
      <c r="X138" s="21"/>
      <c r="Y138" s="21"/>
    </row>
    <row r="139" spans="1:25" x14ac:dyDescent="0.25">
      <c r="A139" s="16">
        <v>126</v>
      </c>
      <c r="B139" s="16"/>
      <c r="C139" s="17">
        <v>0.45</v>
      </c>
      <c r="D139" s="17">
        <v>0.1</v>
      </c>
      <c r="E139" s="18">
        <f t="shared" si="12"/>
        <v>0.35</v>
      </c>
      <c r="F139" s="19">
        <v>15</v>
      </c>
      <c r="G139" s="20">
        <v>50.5</v>
      </c>
      <c r="H139" s="20">
        <v>28.2</v>
      </c>
      <c r="I139" s="20">
        <v>50.4</v>
      </c>
      <c r="J139" s="20">
        <v>50</v>
      </c>
      <c r="K139" s="20">
        <v>47.5</v>
      </c>
      <c r="L139" s="20"/>
      <c r="M139" s="20"/>
      <c r="N139" s="20"/>
      <c r="O139" s="20"/>
      <c r="P139" s="20"/>
      <c r="Q139" s="20"/>
      <c r="R139" s="21"/>
      <c r="S139" s="21"/>
      <c r="T139" s="21"/>
      <c r="U139" s="21"/>
      <c r="V139" s="21"/>
      <c r="W139" s="21"/>
      <c r="X139" s="21"/>
      <c r="Y139" s="21"/>
    </row>
    <row r="140" spans="1:25" x14ac:dyDescent="0.25">
      <c r="A140" s="16">
        <v>127</v>
      </c>
      <c r="B140" s="16"/>
      <c r="C140" s="17">
        <v>0.45</v>
      </c>
      <c r="D140" s="17">
        <v>0.1</v>
      </c>
      <c r="E140" s="18">
        <f t="shared" si="12"/>
        <v>0.35</v>
      </c>
      <c r="F140" s="19">
        <v>15</v>
      </c>
      <c r="G140" s="20">
        <v>50.7</v>
      </c>
      <c r="H140" s="20">
        <v>28.4</v>
      </c>
      <c r="I140" s="20">
        <v>50.5</v>
      </c>
      <c r="J140" s="20">
        <v>49.9</v>
      </c>
      <c r="K140" s="20">
        <v>47.599999999999994</v>
      </c>
      <c r="L140" s="20"/>
      <c r="M140" s="20"/>
      <c r="N140" s="20"/>
      <c r="O140" s="20"/>
      <c r="P140" s="20"/>
      <c r="Q140" s="20"/>
      <c r="R140" s="21"/>
      <c r="S140" s="21"/>
      <c r="T140" s="21"/>
      <c r="U140" s="21"/>
      <c r="V140" s="21"/>
      <c r="W140" s="21"/>
      <c r="X140" s="21"/>
      <c r="Y140" s="21"/>
    </row>
    <row r="141" spans="1:25" x14ac:dyDescent="0.25">
      <c r="A141" s="16">
        <v>128</v>
      </c>
      <c r="B141" s="16"/>
      <c r="C141" s="17">
        <v>0.45</v>
      </c>
      <c r="D141" s="17">
        <v>0.1</v>
      </c>
      <c r="E141" s="18">
        <f t="shared" si="12"/>
        <v>0.35</v>
      </c>
      <c r="F141" s="19">
        <v>15</v>
      </c>
      <c r="G141" s="20">
        <v>50.55</v>
      </c>
      <c r="H141" s="20">
        <v>28.5</v>
      </c>
      <c r="I141" s="20">
        <v>50.4</v>
      </c>
      <c r="J141" s="20">
        <v>49.9</v>
      </c>
      <c r="K141" s="20">
        <v>47.599999999999994</v>
      </c>
      <c r="L141" s="20"/>
      <c r="M141" s="20"/>
      <c r="N141" s="20"/>
      <c r="O141" s="20"/>
      <c r="P141" s="20"/>
      <c r="Q141" s="20"/>
      <c r="R141" s="21"/>
      <c r="S141" s="21"/>
      <c r="T141" s="21"/>
      <c r="U141" s="21"/>
      <c r="V141" s="21"/>
      <c r="W141" s="21"/>
      <c r="X141" s="21"/>
      <c r="Y141" s="21"/>
    </row>
    <row r="142" spans="1:25" x14ac:dyDescent="0.25">
      <c r="A142" s="16">
        <v>129</v>
      </c>
      <c r="B142" s="16"/>
      <c r="C142" s="17">
        <v>0.45</v>
      </c>
      <c r="D142" s="17">
        <v>0.1</v>
      </c>
      <c r="E142" s="18">
        <f t="shared" si="12"/>
        <v>0.35</v>
      </c>
      <c r="F142" s="19">
        <v>15</v>
      </c>
      <c r="G142" s="20">
        <v>50.7</v>
      </c>
      <c r="H142" s="20">
        <v>28.6</v>
      </c>
      <c r="I142" s="20">
        <v>50.4</v>
      </c>
      <c r="J142" s="20">
        <v>50</v>
      </c>
      <c r="K142" s="20">
        <v>47.7</v>
      </c>
      <c r="L142" s="20"/>
      <c r="M142" s="20"/>
      <c r="N142" s="20"/>
      <c r="O142" s="20"/>
      <c r="P142" s="20"/>
      <c r="Q142" s="20"/>
      <c r="R142" s="21"/>
      <c r="S142" s="21"/>
      <c r="T142" s="21"/>
      <c r="U142" s="21"/>
      <c r="V142" s="21"/>
      <c r="W142" s="21"/>
      <c r="X142" s="21"/>
      <c r="Y142" s="21"/>
    </row>
    <row r="143" spans="1:25" x14ac:dyDescent="0.25">
      <c r="A143" s="16">
        <v>130</v>
      </c>
      <c r="B143" s="16"/>
      <c r="C143" s="17">
        <v>0.45</v>
      </c>
      <c r="D143" s="17">
        <v>0.1</v>
      </c>
      <c r="E143" s="18">
        <f t="shared" si="12"/>
        <v>0.35</v>
      </c>
      <c r="F143" s="19">
        <v>15</v>
      </c>
      <c r="G143" s="20">
        <v>50.599999999999994</v>
      </c>
      <c r="H143" s="20">
        <v>28.6</v>
      </c>
      <c r="I143" s="20">
        <v>50.4</v>
      </c>
      <c r="J143" s="20">
        <v>50</v>
      </c>
      <c r="K143" s="20">
        <v>47.6</v>
      </c>
      <c r="L143" s="20"/>
      <c r="M143" s="20"/>
      <c r="N143" s="20"/>
      <c r="O143" s="20"/>
      <c r="P143" s="20"/>
      <c r="Q143" s="20"/>
      <c r="R143" s="21"/>
      <c r="S143" s="21"/>
      <c r="T143" s="21"/>
      <c r="U143" s="21"/>
      <c r="V143" s="21"/>
      <c r="W143" s="21"/>
      <c r="X143" s="21"/>
      <c r="Y143" s="21"/>
    </row>
    <row r="144" spans="1:25" x14ac:dyDescent="0.25">
      <c r="A144" s="16"/>
      <c r="B144" s="16"/>
      <c r="C144" s="22"/>
      <c r="D144" s="22"/>
      <c r="E144" s="22"/>
      <c r="F144" s="19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21"/>
      <c r="S144" s="21"/>
      <c r="T144" s="21"/>
      <c r="U144" s="21"/>
      <c r="V144" s="21"/>
      <c r="W144" s="21"/>
      <c r="X144" s="21"/>
      <c r="Y144" s="21"/>
    </row>
    <row r="145" spans="1:25" x14ac:dyDescent="0.25">
      <c r="A145" s="16">
        <v>131</v>
      </c>
      <c r="B145" s="16" t="s">
        <v>60</v>
      </c>
      <c r="C145" s="17">
        <v>0.3</v>
      </c>
      <c r="D145" s="17">
        <v>7.4999999999999997E-2</v>
      </c>
      <c r="E145" s="18">
        <f t="shared" ref="E145:E154" si="13">C145-D145</f>
        <v>0.22499999999999998</v>
      </c>
      <c r="F145" s="19">
        <v>10</v>
      </c>
      <c r="G145" s="20">
        <v>51.25</v>
      </c>
      <c r="H145" s="20">
        <v>28.6</v>
      </c>
      <c r="I145" s="20">
        <v>51</v>
      </c>
      <c r="J145" s="20">
        <v>50.6</v>
      </c>
      <c r="K145" s="20">
        <v>47.7</v>
      </c>
      <c r="L145" s="20"/>
      <c r="M145" s="20"/>
      <c r="N145" s="20"/>
      <c r="O145" s="20"/>
      <c r="P145" s="20"/>
      <c r="Q145" s="20"/>
      <c r="R145" s="21"/>
      <c r="S145" s="21"/>
      <c r="T145" s="21"/>
      <c r="U145" s="21"/>
      <c r="V145" s="21"/>
      <c r="W145" s="21"/>
      <c r="X145" s="21"/>
      <c r="Y145" s="21"/>
    </row>
    <row r="146" spans="1:25" x14ac:dyDescent="0.25">
      <c r="A146" s="16">
        <v>132</v>
      </c>
      <c r="B146" s="16"/>
      <c r="C146" s="17">
        <v>0.3</v>
      </c>
      <c r="D146" s="17">
        <v>7.4999999999999997E-2</v>
      </c>
      <c r="E146" s="18">
        <f t="shared" si="13"/>
        <v>0.22499999999999998</v>
      </c>
      <c r="F146" s="19">
        <v>10</v>
      </c>
      <c r="G146" s="20">
        <v>51.3</v>
      </c>
      <c r="H146" s="20">
        <v>28.8</v>
      </c>
      <c r="I146" s="20">
        <v>51.1</v>
      </c>
      <c r="J146" s="20">
        <v>50.5</v>
      </c>
      <c r="K146" s="20">
        <v>47.8</v>
      </c>
      <c r="L146" s="20"/>
      <c r="M146" s="20"/>
      <c r="N146" s="20"/>
      <c r="O146" s="20"/>
      <c r="P146" s="20"/>
      <c r="Q146" s="20"/>
      <c r="R146" s="21"/>
      <c r="S146" s="21"/>
      <c r="T146" s="21"/>
      <c r="U146" s="21"/>
      <c r="V146" s="21"/>
      <c r="W146" s="21"/>
      <c r="X146" s="21"/>
      <c r="Y146" s="21"/>
    </row>
    <row r="147" spans="1:25" x14ac:dyDescent="0.25">
      <c r="A147" s="16">
        <v>133</v>
      </c>
      <c r="B147" s="16"/>
      <c r="C147" s="17">
        <v>0.3</v>
      </c>
      <c r="D147" s="17">
        <v>7.4999999999999997E-2</v>
      </c>
      <c r="E147" s="18">
        <f t="shared" si="13"/>
        <v>0.22499999999999998</v>
      </c>
      <c r="F147" s="19">
        <v>10</v>
      </c>
      <c r="G147" s="20">
        <v>51.4</v>
      </c>
      <c r="H147" s="20">
        <v>28.8</v>
      </c>
      <c r="I147" s="20">
        <v>51.1</v>
      </c>
      <c r="J147" s="20">
        <v>50.5</v>
      </c>
      <c r="K147" s="20">
        <v>47.65</v>
      </c>
      <c r="L147" s="20"/>
      <c r="M147" s="20"/>
      <c r="N147" s="20"/>
      <c r="O147" s="20"/>
      <c r="P147" s="20"/>
      <c r="Q147" s="20"/>
      <c r="R147" s="21"/>
      <c r="S147" s="21"/>
      <c r="T147" s="21"/>
      <c r="U147" s="21"/>
      <c r="V147" s="21"/>
      <c r="W147" s="21"/>
      <c r="X147" s="21"/>
      <c r="Y147" s="21"/>
    </row>
    <row r="148" spans="1:25" x14ac:dyDescent="0.25">
      <c r="A148" s="16">
        <v>134</v>
      </c>
      <c r="B148" s="16"/>
      <c r="C148" s="17">
        <v>0.3</v>
      </c>
      <c r="D148" s="17">
        <v>7.4999999999999997E-2</v>
      </c>
      <c r="E148" s="18">
        <f t="shared" si="13"/>
        <v>0.22499999999999998</v>
      </c>
      <c r="F148" s="19">
        <v>10</v>
      </c>
      <c r="G148" s="20">
        <v>51.349999999999994</v>
      </c>
      <c r="H148" s="20">
        <v>28.8</v>
      </c>
      <c r="I148" s="20">
        <v>51.1</v>
      </c>
      <c r="J148" s="20">
        <v>50.5</v>
      </c>
      <c r="K148" s="20">
        <v>47.65</v>
      </c>
      <c r="L148" s="20"/>
      <c r="M148" s="20"/>
      <c r="N148" s="20"/>
      <c r="O148" s="20"/>
      <c r="P148" s="20"/>
      <c r="Q148" s="20"/>
      <c r="R148" s="21"/>
      <c r="S148" s="21"/>
      <c r="T148" s="21"/>
      <c r="U148" s="21"/>
      <c r="V148" s="21"/>
      <c r="W148" s="21"/>
      <c r="X148" s="21"/>
      <c r="Y148" s="21"/>
    </row>
    <row r="149" spans="1:25" x14ac:dyDescent="0.25">
      <c r="A149" s="16">
        <v>135</v>
      </c>
      <c r="B149" s="16"/>
      <c r="C149" s="17">
        <v>0.3</v>
      </c>
      <c r="D149" s="17">
        <v>7.4999999999999997E-2</v>
      </c>
      <c r="E149" s="18">
        <f t="shared" si="13"/>
        <v>0.22499999999999998</v>
      </c>
      <c r="F149" s="19">
        <v>10</v>
      </c>
      <c r="G149" s="20">
        <v>51.4</v>
      </c>
      <c r="H149" s="20">
        <v>28.95</v>
      </c>
      <c r="I149" s="20">
        <v>51</v>
      </c>
      <c r="J149" s="20">
        <v>50.4</v>
      </c>
      <c r="K149" s="20">
        <v>47.75</v>
      </c>
      <c r="L149" s="20"/>
      <c r="M149" s="20"/>
      <c r="N149" s="20"/>
      <c r="O149" s="20"/>
      <c r="P149" s="20"/>
      <c r="Q149" s="20"/>
      <c r="R149" s="21"/>
      <c r="S149" s="21"/>
      <c r="T149" s="21"/>
      <c r="U149" s="21"/>
      <c r="V149" s="21"/>
      <c r="W149" s="21"/>
      <c r="X149" s="21"/>
      <c r="Y149" s="21"/>
    </row>
    <row r="150" spans="1:25" x14ac:dyDescent="0.25">
      <c r="A150" s="16">
        <v>136</v>
      </c>
      <c r="B150" s="16"/>
      <c r="C150" s="17">
        <v>0.3</v>
      </c>
      <c r="D150" s="17">
        <v>7.4999999999999997E-2</v>
      </c>
      <c r="E150" s="18">
        <f t="shared" si="13"/>
        <v>0.22499999999999998</v>
      </c>
      <c r="F150" s="19">
        <v>10</v>
      </c>
      <c r="G150" s="20">
        <v>50.849999999999994</v>
      </c>
      <c r="H150" s="20">
        <v>28.95</v>
      </c>
      <c r="I150" s="20">
        <v>50.6</v>
      </c>
      <c r="J150" s="20">
        <v>50.1</v>
      </c>
      <c r="K150" s="20">
        <v>47.75</v>
      </c>
      <c r="L150" s="20"/>
      <c r="M150" s="20"/>
      <c r="N150" s="20"/>
      <c r="O150" s="20"/>
      <c r="P150" s="20"/>
      <c r="Q150" s="20"/>
      <c r="R150" s="21"/>
      <c r="S150" s="21"/>
      <c r="T150" s="21"/>
      <c r="U150" s="21"/>
      <c r="V150" s="21"/>
      <c r="W150" s="21"/>
      <c r="X150" s="21"/>
      <c r="Y150" s="21"/>
    </row>
    <row r="151" spans="1:25" x14ac:dyDescent="0.25">
      <c r="A151" s="16">
        <v>137</v>
      </c>
      <c r="B151" s="16"/>
      <c r="C151" s="17">
        <v>0.3</v>
      </c>
      <c r="D151" s="17">
        <v>7.4999999999999997E-2</v>
      </c>
      <c r="E151" s="18">
        <f t="shared" si="13"/>
        <v>0.22499999999999998</v>
      </c>
      <c r="F151" s="19">
        <v>10</v>
      </c>
      <c r="G151" s="20">
        <v>50.7</v>
      </c>
      <c r="H151" s="20">
        <v>28.95</v>
      </c>
      <c r="I151" s="20">
        <v>50.6</v>
      </c>
      <c r="J151" s="20">
        <v>50.1</v>
      </c>
      <c r="K151" s="20">
        <v>47.75</v>
      </c>
      <c r="L151" s="20"/>
      <c r="M151" s="20"/>
      <c r="N151" s="20"/>
      <c r="O151" s="20"/>
      <c r="P151" s="20"/>
      <c r="Q151" s="20"/>
      <c r="R151" s="21"/>
      <c r="S151" s="21"/>
      <c r="T151" s="21"/>
      <c r="U151" s="21"/>
      <c r="V151" s="21"/>
      <c r="W151" s="21"/>
      <c r="X151" s="21"/>
      <c r="Y151" s="21"/>
    </row>
    <row r="152" spans="1:25" x14ac:dyDescent="0.25">
      <c r="A152" s="16">
        <v>138</v>
      </c>
      <c r="B152" s="16"/>
      <c r="C152" s="17">
        <v>0.3</v>
      </c>
      <c r="D152" s="17">
        <v>7.4999999999999997E-2</v>
      </c>
      <c r="E152" s="18">
        <f t="shared" si="13"/>
        <v>0.22499999999999998</v>
      </c>
      <c r="F152" s="19">
        <v>10</v>
      </c>
      <c r="G152" s="20">
        <v>50.7</v>
      </c>
      <c r="H152" s="20">
        <v>28.950000000000003</v>
      </c>
      <c r="I152" s="20">
        <v>50.7</v>
      </c>
      <c r="J152" s="20">
        <v>50.2</v>
      </c>
      <c r="K152" s="20">
        <v>47.75</v>
      </c>
      <c r="L152" s="20"/>
      <c r="M152" s="20"/>
      <c r="N152" s="20"/>
      <c r="O152" s="20"/>
      <c r="P152" s="20"/>
      <c r="Q152" s="20"/>
      <c r="R152" s="21"/>
      <c r="S152" s="21"/>
      <c r="T152" s="21"/>
      <c r="U152" s="21"/>
      <c r="V152" s="21"/>
      <c r="W152" s="21"/>
      <c r="X152" s="21"/>
      <c r="Y152" s="21"/>
    </row>
    <row r="153" spans="1:25" x14ac:dyDescent="0.25">
      <c r="A153" s="16">
        <v>139</v>
      </c>
      <c r="B153" s="16"/>
      <c r="C153" s="17">
        <v>0.3</v>
      </c>
      <c r="D153" s="17">
        <v>7.4999999999999997E-2</v>
      </c>
      <c r="E153" s="18">
        <f t="shared" si="13"/>
        <v>0.22499999999999998</v>
      </c>
      <c r="F153" s="19">
        <v>10</v>
      </c>
      <c r="G153" s="20">
        <v>50.75</v>
      </c>
      <c r="H153" s="20">
        <v>28.85</v>
      </c>
      <c r="I153" s="20">
        <v>50.7</v>
      </c>
      <c r="J153" s="20">
        <v>50</v>
      </c>
      <c r="K153" s="20">
        <v>47.75</v>
      </c>
      <c r="L153" s="20"/>
      <c r="M153" s="20"/>
      <c r="N153" s="20"/>
      <c r="O153" s="20"/>
      <c r="P153" s="20"/>
      <c r="Q153" s="20"/>
      <c r="R153" s="21"/>
      <c r="S153" s="21"/>
      <c r="T153" s="21"/>
      <c r="U153" s="21"/>
      <c r="V153" s="21"/>
      <c r="W153" s="21"/>
      <c r="X153" s="21"/>
      <c r="Y153" s="21"/>
    </row>
    <row r="154" spans="1:25" x14ac:dyDescent="0.25">
      <c r="A154" s="16">
        <v>140</v>
      </c>
      <c r="B154" s="16"/>
      <c r="C154" s="17">
        <v>0.3</v>
      </c>
      <c r="D154" s="17">
        <v>7.4999999999999997E-2</v>
      </c>
      <c r="E154" s="18">
        <f t="shared" si="13"/>
        <v>0.22499999999999998</v>
      </c>
      <c r="F154" s="19">
        <v>10</v>
      </c>
      <c r="G154" s="20">
        <v>50.6</v>
      </c>
      <c r="H154" s="20">
        <v>28.75</v>
      </c>
      <c r="I154" s="20">
        <v>50.5</v>
      </c>
      <c r="J154" s="20">
        <v>50</v>
      </c>
      <c r="K154" s="20">
        <v>47.65</v>
      </c>
      <c r="L154" s="20"/>
      <c r="M154" s="20"/>
      <c r="N154" s="20"/>
      <c r="O154" s="20"/>
      <c r="P154" s="20"/>
      <c r="Q154" s="20"/>
      <c r="R154" s="21"/>
      <c r="S154" s="21"/>
      <c r="T154" s="21"/>
      <c r="U154" s="21"/>
      <c r="V154" s="21"/>
      <c r="W154" s="21"/>
      <c r="X154" s="21"/>
      <c r="Y154" s="21"/>
    </row>
    <row r="155" spans="1:25" x14ac:dyDescent="0.25">
      <c r="A155" s="16"/>
      <c r="B155" s="16"/>
      <c r="C155" s="22"/>
      <c r="D155" s="22"/>
      <c r="E155" s="22"/>
      <c r="F155" s="19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21"/>
      <c r="S155" s="21"/>
      <c r="T155" s="21"/>
      <c r="U155" s="21"/>
      <c r="V155" s="21"/>
      <c r="W155" s="21"/>
      <c r="X155" s="21"/>
      <c r="Y155" s="21"/>
    </row>
    <row r="156" spans="1:25" x14ac:dyDescent="0.25">
      <c r="A156" s="16">
        <v>141</v>
      </c>
      <c r="B156" s="16" t="s">
        <v>61</v>
      </c>
      <c r="C156" s="17">
        <v>0.17499999999999999</v>
      </c>
      <c r="D156" s="17">
        <v>0.1</v>
      </c>
      <c r="E156" s="18">
        <f t="shared" ref="E156:E165" si="14">C156-D156</f>
        <v>7.4999999999999983E-2</v>
      </c>
      <c r="F156" s="19">
        <v>5</v>
      </c>
      <c r="G156" s="20">
        <v>52.400000000000006</v>
      </c>
      <c r="H156" s="20">
        <v>29.45</v>
      </c>
      <c r="I156" s="20">
        <v>50.9</v>
      </c>
      <c r="J156" s="20">
        <v>50.4</v>
      </c>
      <c r="K156" s="20">
        <v>47.65</v>
      </c>
      <c r="L156" s="20"/>
      <c r="M156" s="20"/>
      <c r="N156" s="20"/>
      <c r="O156" s="20"/>
      <c r="P156" s="20"/>
      <c r="Q156" s="20"/>
      <c r="R156" s="21"/>
      <c r="S156" s="21"/>
      <c r="T156" s="21"/>
      <c r="U156" s="21"/>
      <c r="V156" s="21"/>
      <c r="W156" s="21"/>
      <c r="X156" s="21"/>
      <c r="Y156" s="21"/>
    </row>
    <row r="157" spans="1:25" x14ac:dyDescent="0.25">
      <c r="A157" s="16">
        <v>142</v>
      </c>
      <c r="B157" s="16"/>
      <c r="C157" s="17">
        <v>0.17499999999999999</v>
      </c>
      <c r="D157" s="17">
        <v>0.1</v>
      </c>
      <c r="E157" s="18">
        <f t="shared" si="14"/>
        <v>7.4999999999999983E-2</v>
      </c>
      <c r="F157" s="19">
        <v>5</v>
      </c>
      <c r="G157" s="20">
        <v>52.4</v>
      </c>
      <c r="H157" s="20">
        <v>29.65</v>
      </c>
      <c r="I157" s="20">
        <v>50.9</v>
      </c>
      <c r="J157" s="20">
        <v>50.2</v>
      </c>
      <c r="K157" s="20">
        <v>47.55</v>
      </c>
      <c r="L157" s="20"/>
      <c r="M157" s="20"/>
      <c r="N157" s="20"/>
      <c r="O157" s="20"/>
      <c r="P157" s="20"/>
      <c r="Q157" s="20"/>
      <c r="R157" s="21"/>
      <c r="S157" s="21"/>
      <c r="T157" s="21"/>
      <c r="U157" s="21"/>
      <c r="V157" s="21"/>
      <c r="W157" s="21"/>
      <c r="X157" s="21"/>
      <c r="Y157" s="21"/>
    </row>
    <row r="158" spans="1:25" x14ac:dyDescent="0.25">
      <c r="A158" s="16">
        <v>143</v>
      </c>
      <c r="B158" s="16"/>
      <c r="C158" s="17">
        <v>0.17499999999999999</v>
      </c>
      <c r="D158" s="17">
        <v>0.1</v>
      </c>
      <c r="E158" s="18">
        <f t="shared" si="14"/>
        <v>7.4999999999999983E-2</v>
      </c>
      <c r="F158" s="19">
        <v>5</v>
      </c>
      <c r="G158" s="20">
        <v>52.65</v>
      </c>
      <c r="H158" s="20">
        <v>29.65</v>
      </c>
      <c r="I158" s="20">
        <v>50.7</v>
      </c>
      <c r="J158" s="20">
        <v>50.2</v>
      </c>
      <c r="K158" s="20">
        <v>47.55</v>
      </c>
      <c r="L158" s="20"/>
      <c r="M158" s="20"/>
      <c r="N158" s="20"/>
      <c r="O158" s="20"/>
      <c r="P158" s="20"/>
      <c r="Q158" s="20"/>
      <c r="R158" s="21"/>
      <c r="S158" s="21"/>
      <c r="T158" s="21"/>
      <c r="U158" s="21"/>
      <c r="V158" s="21"/>
      <c r="W158" s="21"/>
      <c r="X158" s="21"/>
      <c r="Y158" s="21"/>
    </row>
    <row r="159" spans="1:25" x14ac:dyDescent="0.25">
      <c r="A159" s="16">
        <v>144</v>
      </c>
      <c r="B159" s="16"/>
      <c r="C159" s="17">
        <v>0.17499999999999999</v>
      </c>
      <c r="D159" s="17">
        <v>0.1</v>
      </c>
      <c r="E159" s="18">
        <f t="shared" si="14"/>
        <v>7.4999999999999983E-2</v>
      </c>
      <c r="F159" s="19">
        <v>5</v>
      </c>
      <c r="G159" s="20">
        <v>51.9</v>
      </c>
      <c r="H159" s="20">
        <v>29.4</v>
      </c>
      <c r="I159" s="20">
        <v>50.6</v>
      </c>
      <c r="J159" s="20">
        <v>49.8</v>
      </c>
      <c r="K159" s="20">
        <v>47.55</v>
      </c>
      <c r="L159" s="20"/>
      <c r="M159" s="20"/>
      <c r="N159" s="20"/>
      <c r="O159" s="20"/>
      <c r="P159" s="20"/>
      <c r="Q159" s="20"/>
      <c r="R159" s="21"/>
      <c r="S159" s="21"/>
      <c r="T159" s="21"/>
      <c r="U159" s="21"/>
      <c r="V159" s="21"/>
      <c r="W159" s="21"/>
      <c r="X159" s="21"/>
      <c r="Y159" s="21"/>
    </row>
    <row r="160" spans="1:25" x14ac:dyDescent="0.25">
      <c r="A160" s="16">
        <v>145</v>
      </c>
      <c r="B160" s="16"/>
      <c r="C160" s="17">
        <v>0.17499999999999999</v>
      </c>
      <c r="D160" s="17">
        <v>0.1</v>
      </c>
      <c r="E160" s="18">
        <f t="shared" si="14"/>
        <v>7.4999999999999983E-2</v>
      </c>
      <c r="F160" s="19">
        <v>5</v>
      </c>
      <c r="G160" s="20">
        <v>52.6</v>
      </c>
      <c r="H160" s="20">
        <v>29.75</v>
      </c>
      <c r="I160" s="20">
        <v>50.7</v>
      </c>
      <c r="J160" s="20">
        <v>50.2</v>
      </c>
      <c r="K160" s="20">
        <v>47.55</v>
      </c>
      <c r="L160" s="20"/>
      <c r="M160" s="20"/>
      <c r="N160" s="20"/>
      <c r="O160" s="20"/>
      <c r="P160" s="20"/>
      <c r="Q160" s="20"/>
      <c r="R160" s="21"/>
      <c r="S160" s="21"/>
      <c r="T160" s="21"/>
      <c r="U160" s="21"/>
      <c r="V160" s="21"/>
      <c r="W160" s="21"/>
      <c r="X160" s="21"/>
      <c r="Y160" s="21"/>
    </row>
    <row r="161" spans="1:25" x14ac:dyDescent="0.25">
      <c r="A161" s="16">
        <v>146</v>
      </c>
      <c r="B161" s="16"/>
      <c r="C161" s="17">
        <v>0.17499999999999999</v>
      </c>
      <c r="D161" s="17">
        <v>0.1</v>
      </c>
      <c r="E161" s="18">
        <f t="shared" si="14"/>
        <v>7.4999999999999983E-2</v>
      </c>
      <c r="F161" s="19">
        <v>5</v>
      </c>
      <c r="G161" s="20">
        <v>52.25</v>
      </c>
      <c r="H161" s="20">
        <v>29.75</v>
      </c>
      <c r="I161" s="20">
        <v>50.8</v>
      </c>
      <c r="J161" s="20">
        <v>50.3</v>
      </c>
      <c r="K161" s="20">
        <v>47.55</v>
      </c>
      <c r="L161" s="20"/>
      <c r="M161" s="20"/>
      <c r="N161" s="20"/>
      <c r="O161" s="20"/>
      <c r="P161" s="20"/>
      <c r="Q161" s="20"/>
      <c r="R161" s="21"/>
      <c r="S161" s="21"/>
      <c r="T161" s="21"/>
      <c r="U161" s="21"/>
      <c r="V161" s="21"/>
      <c r="W161" s="21"/>
      <c r="X161" s="21"/>
      <c r="Y161" s="21"/>
    </row>
    <row r="162" spans="1:25" x14ac:dyDescent="0.25">
      <c r="A162" s="16">
        <v>147</v>
      </c>
      <c r="B162" s="16"/>
      <c r="C162" s="17">
        <v>0.17499999999999999</v>
      </c>
      <c r="D162" s="17">
        <v>0.1</v>
      </c>
      <c r="E162" s="18">
        <f t="shared" si="14"/>
        <v>7.4999999999999983E-2</v>
      </c>
      <c r="F162" s="19">
        <v>5</v>
      </c>
      <c r="G162" s="20">
        <v>52.7</v>
      </c>
      <c r="H162" s="20">
        <v>29.85</v>
      </c>
      <c r="I162" s="20">
        <v>50.9</v>
      </c>
      <c r="J162" s="20">
        <v>50.4</v>
      </c>
      <c r="K162" s="20">
        <v>47.65</v>
      </c>
      <c r="L162" s="20"/>
      <c r="M162" s="20"/>
      <c r="N162" s="20"/>
      <c r="O162" s="20"/>
      <c r="P162" s="20"/>
      <c r="Q162" s="20"/>
      <c r="R162" s="21"/>
      <c r="S162" s="21"/>
      <c r="T162" s="21"/>
      <c r="U162" s="21"/>
      <c r="V162" s="21"/>
      <c r="W162" s="21"/>
      <c r="X162" s="21"/>
      <c r="Y162" s="21"/>
    </row>
    <row r="163" spans="1:25" x14ac:dyDescent="0.25">
      <c r="A163" s="16">
        <v>148</v>
      </c>
      <c r="B163" s="16"/>
      <c r="C163" s="17">
        <v>0.17499999999999999</v>
      </c>
      <c r="D163" s="17">
        <v>0.1</v>
      </c>
      <c r="E163" s="18">
        <f t="shared" si="14"/>
        <v>7.4999999999999983E-2</v>
      </c>
      <c r="F163" s="19">
        <v>5</v>
      </c>
      <c r="G163" s="20">
        <v>52.8</v>
      </c>
      <c r="H163" s="20">
        <v>29.85</v>
      </c>
      <c r="I163" s="20">
        <v>50.9</v>
      </c>
      <c r="J163" s="20">
        <v>50.2</v>
      </c>
      <c r="K163" s="20">
        <v>47.75</v>
      </c>
      <c r="L163" s="20"/>
      <c r="M163" s="20"/>
      <c r="N163" s="20"/>
      <c r="O163" s="20"/>
      <c r="P163" s="20"/>
      <c r="Q163" s="20"/>
      <c r="R163" s="21"/>
      <c r="S163" s="21"/>
      <c r="T163" s="21"/>
      <c r="U163" s="21"/>
      <c r="V163" s="21"/>
      <c r="W163" s="21"/>
      <c r="X163" s="21"/>
      <c r="Y163" s="21"/>
    </row>
    <row r="164" spans="1:25" x14ac:dyDescent="0.25">
      <c r="A164" s="16">
        <v>149</v>
      </c>
      <c r="B164" s="16"/>
      <c r="C164" s="17">
        <v>0.17499999999999999</v>
      </c>
      <c r="D164" s="17">
        <v>0.1</v>
      </c>
      <c r="E164" s="18">
        <f t="shared" si="14"/>
        <v>7.4999999999999983E-2</v>
      </c>
      <c r="F164" s="19">
        <v>5</v>
      </c>
      <c r="G164" s="20">
        <v>52.35</v>
      </c>
      <c r="H164" s="20">
        <v>29.75</v>
      </c>
      <c r="I164" s="20">
        <v>50.9</v>
      </c>
      <c r="J164" s="20">
        <v>50.4</v>
      </c>
      <c r="K164" s="20">
        <v>47.75</v>
      </c>
      <c r="L164" s="20"/>
      <c r="M164" s="20"/>
      <c r="N164" s="20"/>
      <c r="O164" s="20"/>
      <c r="P164" s="20"/>
      <c r="Q164" s="20"/>
      <c r="R164" s="21"/>
      <c r="S164" s="21"/>
      <c r="T164" s="21"/>
      <c r="U164" s="21"/>
      <c r="V164" s="21"/>
      <c r="W164" s="21"/>
      <c r="X164" s="21"/>
      <c r="Y164" s="21"/>
    </row>
    <row r="165" spans="1:25" x14ac:dyDescent="0.25">
      <c r="A165" s="16">
        <v>150</v>
      </c>
      <c r="B165" s="16"/>
      <c r="C165" s="17">
        <v>0.17499999999999999</v>
      </c>
      <c r="D165" s="17">
        <v>0.1</v>
      </c>
      <c r="E165" s="18">
        <f t="shared" si="14"/>
        <v>7.4999999999999983E-2</v>
      </c>
      <c r="F165" s="19">
        <v>5</v>
      </c>
      <c r="G165" s="20">
        <v>52.9</v>
      </c>
      <c r="H165" s="20">
        <v>29.95</v>
      </c>
      <c r="I165" s="20">
        <v>51</v>
      </c>
      <c r="J165" s="20">
        <v>50.5</v>
      </c>
      <c r="K165" s="20">
        <v>47.75</v>
      </c>
      <c r="L165" s="20"/>
      <c r="M165" s="20"/>
      <c r="N165" s="20"/>
      <c r="O165" s="20"/>
      <c r="P165" s="20"/>
      <c r="Q165" s="20"/>
      <c r="R165" s="21"/>
      <c r="S165" s="21"/>
      <c r="T165" s="21"/>
      <c r="U165" s="21"/>
      <c r="V165" s="21"/>
      <c r="W165" s="21"/>
      <c r="X165" s="21"/>
      <c r="Y165" s="21"/>
    </row>
    <row r="166" spans="1:25" x14ac:dyDescent="0.25">
      <c r="A166" s="16"/>
      <c r="B166" s="16"/>
      <c r="C166" s="22"/>
      <c r="D166" s="22"/>
      <c r="E166" s="22"/>
      <c r="F166" s="19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21"/>
      <c r="S166" s="21"/>
      <c r="T166" s="21"/>
      <c r="U166" s="21"/>
      <c r="V166" s="21"/>
      <c r="W166" s="21"/>
      <c r="X166" s="21"/>
      <c r="Y166" s="21"/>
    </row>
    <row r="167" spans="1:25" x14ac:dyDescent="0.25">
      <c r="A167" s="16">
        <v>151</v>
      </c>
      <c r="B167" s="16" t="s">
        <v>62</v>
      </c>
      <c r="C167" s="17">
        <v>0.4</v>
      </c>
      <c r="D167" s="17">
        <v>0.15</v>
      </c>
      <c r="E167" s="18">
        <f t="shared" ref="E167:E176" si="15">C167-D167</f>
        <v>0.25</v>
      </c>
      <c r="F167" s="19">
        <v>30</v>
      </c>
      <c r="G167" s="20">
        <v>61.1</v>
      </c>
      <c r="H167" s="20">
        <v>29.700000000000003</v>
      </c>
      <c r="I167" s="20">
        <v>60.3</v>
      </c>
      <c r="J167" s="20">
        <v>60.1</v>
      </c>
      <c r="K167" s="20">
        <v>56.8</v>
      </c>
      <c r="L167" s="20">
        <v>60.1</v>
      </c>
      <c r="M167" s="20">
        <v>60</v>
      </c>
      <c r="N167" s="20">
        <v>59.95</v>
      </c>
      <c r="O167" s="20">
        <v>60.3</v>
      </c>
      <c r="P167" s="20">
        <v>60.1</v>
      </c>
      <c r="Q167" s="20">
        <v>58.7</v>
      </c>
      <c r="R167" s="21"/>
      <c r="S167" s="21"/>
      <c r="T167" s="21"/>
      <c r="U167" s="21"/>
      <c r="V167" s="21"/>
      <c r="W167" s="21"/>
      <c r="X167" s="21"/>
      <c r="Y167" s="21"/>
    </row>
    <row r="168" spans="1:25" x14ac:dyDescent="0.25">
      <c r="A168" s="16">
        <v>152</v>
      </c>
      <c r="B168" s="16"/>
      <c r="C168" s="17">
        <v>0.4</v>
      </c>
      <c r="D168" s="17">
        <v>0.15</v>
      </c>
      <c r="E168" s="18">
        <f t="shared" si="15"/>
        <v>0.25</v>
      </c>
      <c r="F168" s="19">
        <v>30</v>
      </c>
      <c r="G168" s="20">
        <v>61.25</v>
      </c>
      <c r="H168" s="20">
        <v>29.799999999999997</v>
      </c>
      <c r="I168" s="20">
        <v>60.4</v>
      </c>
      <c r="J168" s="20">
        <v>60.2</v>
      </c>
      <c r="K168" s="20">
        <v>56.8</v>
      </c>
      <c r="L168" s="20">
        <v>60.2</v>
      </c>
      <c r="M168" s="20">
        <v>60.1</v>
      </c>
      <c r="N168" s="20">
        <v>59.95</v>
      </c>
      <c r="O168" s="20">
        <v>60.4</v>
      </c>
      <c r="P168" s="20">
        <v>60.2</v>
      </c>
      <c r="Q168" s="20">
        <v>58.8</v>
      </c>
      <c r="R168" s="21"/>
      <c r="S168" s="21"/>
      <c r="T168" s="21"/>
      <c r="U168" s="21"/>
      <c r="V168" s="21"/>
      <c r="W168" s="21"/>
      <c r="X168" s="21"/>
      <c r="Y168" s="21"/>
    </row>
    <row r="169" spans="1:25" x14ac:dyDescent="0.25">
      <c r="A169" s="16">
        <v>153</v>
      </c>
      <c r="B169" s="16"/>
      <c r="C169" s="17">
        <v>0.4</v>
      </c>
      <c r="D169" s="17">
        <v>0.15</v>
      </c>
      <c r="E169" s="18">
        <f t="shared" si="15"/>
        <v>0.25</v>
      </c>
      <c r="F169" s="19">
        <v>30</v>
      </c>
      <c r="G169" s="20">
        <v>61.1</v>
      </c>
      <c r="H169" s="20">
        <v>29.799999999999997</v>
      </c>
      <c r="I169" s="20">
        <v>60.4</v>
      </c>
      <c r="J169" s="20">
        <v>60.2</v>
      </c>
      <c r="K169" s="20">
        <v>56.900000000000006</v>
      </c>
      <c r="L169" s="20">
        <v>60.2</v>
      </c>
      <c r="M169" s="20">
        <v>60.1</v>
      </c>
      <c r="N169" s="20">
        <v>59.95</v>
      </c>
      <c r="O169" s="20">
        <v>60.4</v>
      </c>
      <c r="P169" s="20">
        <v>60.2</v>
      </c>
      <c r="Q169" s="20">
        <v>58.7</v>
      </c>
      <c r="R169" s="21"/>
      <c r="S169" s="21"/>
      <c r="T169" s="21"/>
      <c r="U169" s="21"/>
      <c r="V169" s="21"/>
      <c r="W169" s="21"/>
      <c r="X169" s="21"/>
      <c r="Y169" s="21"/>
    </row>
    <row r="170" spans="1:25" x14ac:dyDescent="0.25">
      <c r="A170" s="16">
        <v>154</v>
      </c>
      <c r="B170" s="16"/>
      <c r="C170" s="17">
        <v>0.4</v>
      </c>
      <c r="D170" s="17">
        <v>0.15</v>
      </c>
      <c r="E170" s="18">
        <f t="shared" si="15"/>
        <v>0.25</v>
      </c>
      <c r="F170" s="19">
        <v>30</v>
      </c>
      <c r="G170" s="20">
        <v>61.2</v>
      </c>
      <c r="H170" s="20">
        <v>29.8</v>
      </c>
      <c r="I170" s="20">
        <v>60.3</v>
      </c>
      <c r="J170" s="20">
        <v>60.2</v>
      </c>
      <c r="K170" s="20">
        <v>56.95</v>
      </c>
      <c r="L170" s="20">
        <v>60.3</v>
      </c>
      <c r="M170" s="20">
        <v>60</v>
      </c>
      <c r="N170" s="20">
        <v>60</v>
      </c>
      <c r="O170" s="20">
        <v>60.5</v>
      </c>
      <c r="P170" s="20">
        <v>60.2</v>
      </c>
      <c r="Q170" s="20">
        <v>58.75</v>
      </c>
      <c r="R170" s="21"/>
      <c r="S170" s="21"/>
      <c r="T170" s="21"/>
      <c r="U170" s="21"/>
      <c r="V170" s="21"/>
      <c r="W170" s="21"/>
      <c r="X170" s="21"/>
      <c r="Y170" s="21"/>
    </row>
    <row r="171" spans="1:25" x14ac:dyDescent="0.25">
      <c r="A171" s="16">
        <v>155</v>
      </c>
      <c r="B171" s="16"/>
      <c r="C171" s="17">
        <v>0.4</v>
      </c>
      <c r="D171" s="17">
        <v>0.15</v>
      </c>
      <c r="E171" s="18">
        <f t="shared" si="15"/>
        <v>0.25</v>
      </c>
      <c r="F171" s="19">
        <v>30</v>
      </c>
      <c r="G171" s="20">
        <v>61.150000000000006</v>
      </c>
      <c r="H171" s="20">
        <v>29.8</v>
      </c>
      <c r="I171" s="20">
        <v>60.3</v>
      </c>
      <c r="J171" s="20">
        <v>60.2</v>
      </c>
      <c r="K171" s="20">
        <v>56.9</v>
      </c>
      <c r="L171" s="20">
        <v>60.2</v>
      </c>
      <c r="M171" s="20">
        <v>60</v>
      </c>
      <c r="N171" s="20">
        <v>59.95</v>
      </c>
      <c r="O171" s="20">
        <v>60.3</v>
      </c>
      <c r="P171" s="20">
        <v>60.2</v>
      </c>
      <c r="Q171" s="20">
        <v>58.75</v>
      </c>
      <c r="R171" s="21"/>
      <c r="S171" s="21"/>
      <c r="T171" s="21"/>
      <c r="U171" s="21"/>
      <c r="V171" s="21"/>
      <c r="W171" s="21"/>
      <c r="X171" s="21"/>
      <c r="Y171" s="21"/>
    </row>
    <row r="172" spans="1:25" x14ac:dyDescent="0.25">
      <c r="A172" s="16">
        <v>156</v>
      </c>
      <c r="B172" s="16"/>
      <c r="C172" s="17">
        <v>0.4</v>
      </c>
      <c r="D172" s="17">
        <v>0.15</v>
      </c>
      <c r="E172" s="18">
        <f t="shared" si="15"/>
        <v>0.25</v>
      </c>
      <c r="F172" s="19">
        <v>30</v>
      </c>
      <c r="G172" s="20">
        <v>61.3</v>
      </c>
      <c r="H172" s="20">
        <v>29.799999999999997</v>
      </c>
      <c r="I172" s="20">
        <v>60.4</v>
      </c>
      <c r="J172" s="20">
        <v>60.3</v>
      </c>
      <c r="K172" s="20">
        <v>56.900000000000006</v>
      </c>
      <c r="L172" s="20">
        <v>60.3</v>
      </c>
      <c r="M172" s="20">
        <v>60.1</v>
      </c>
      <c r="N172" s="20">
        <v>60</v>
      </c>
      <c r="O172" s="20">
        <v>60.4</v>
      </c>
      <c r="P172" s="20">
        <v>60.3</v>
      </c>
      <c r="Q172" s="20">
        <v>58.85</v>
      </c>
      <c r="R172" s="21"/>
      <c r="S172" s="21"/>
      <c r="T172" s="21"/>
      <c r="U172" s="21"/>
      <c r="V172" s="21"/>
      <c r="W172" s="21"/>
      <c r="X172" s="21"/>
      <c r="Y172" s="21"/>
    </row>
    <row r="173" spans="1:25" x14ac:dyDescent="0.25">
      <c r="A173" s="16">
        <v>157</v>
      </c>
      <c r="B173" s="16"/>
      <c r="C173" s="17">
        <v>0.4</v>
      </c>
      <c r="D173" s="17">
        <v>0.15</v>
      </c>
      <c r="E173" s="18">
        <f t="shared" si="15"/>
        <v>0.25</v>
      </c>
      <c r="F173" s="19">
        <v>30</v>
      </c>
      <c r="G173" s="20">
        <v>61.2</v>
      </c>
      <c r="H173" s="20">
        <v>29.9</v>
      </c>
      <c r="I173" s="20">
        <v>60.5</v>
      </c>
      <c r="J173" s="20">
        <v>60.4</v>
      </c>
      <c r="K173" s="20">
        <v>56.95</v>
      </c>
      <c r="L173" s="20">
        <v>60.4</v>
      </c>
      <c r="M173" s="20">
        <v>60.1</v>
      </c>
      <c r="N173" s="20">
        <v>60.099999999999994</v>
      </c>
      <c r="O173" s="20">
        <v>60.5</v>
      </c>
      <c r="P173" s="20">
        <v>60.4</v>
      </c>
      <c r="Q173" s="20">
        <v>58.95</v>
      </c>
      <c r="R173" s="21"/>
      <c r="S173" s="21"/>
      <c r="T173" s="21"/>
      <c r="U173" s="21"/>
      <c r="V173" s="21"/>
      <c r="W173" s="21"/>
      <c r="X173" s="21"/>
      <c r="Y173" s="21"/>
    </row>
    <row r="174" spans="1:25" x14ac:dyDescent="0.25">
      <c r="A174" s="16">
        <v>158</v>
      </c>
      <c r="B174" s="16"/>
      <c r="C174" s="17">
        <v>0.4</v>
      </c>
      <c r="D174" s="17">
        <v>0.15</v>
      </c>
      <c r="E174" s="18">
        <f t="shared" si="15"/>
        <v>0.25</v>
      </c>
      <c r="F174" s="19">
        <v>30</v>
      </c>
      <c r="G174" s="20">
        <v>61.2</v>
      </c>
      <c r="H174" s="20">
        <v>29.8</v>
      </c>
      <c r="I174" s="20">
        <v>60.5</v>
      </c>
      <c r="J174" s="20">
        <v>60.2</v>
      </c>
      <c r="K174" s="20">
        <v>56.8</v>
      </c>
      <c r="L174" s="20">
        <v>60.4</v>
      </c>
      <c r="M174" s="20">
        <v>60</v>
      </c>
      <c r="N174" s="20">
        <v>59.900000000000006</v>
      </c>
      <c r="O174" s="20">
        <v>60.4</v>
      </c>
      <c r="P174" s="20">
        <v>60.4</v>
      </c>
      <c r="Q174" s="20">
        <v>58.849999999999994</v>
      </c>
      <c r="R174" s="21"/>
      <c r="S174" s="21"/>
      <c r="T174" s="21"/>
      <c r="U174" s="21"/>
      <c r="V174" s="21"/>
      <c r="W174" s="21"/>
      <c r="X174" s="21"/>
      <c r="Y174" s="21"/>
    </row>
    <row r="175" spans="1:25" x14ac:dyDescent="0.25">
      <c r="A175" s="16">
        <v>159</v>
      </c>
      <c r="B175" s="16"/>
      <c r="C175" s="17">
        <v>0.4</v>
      </c>
      <c r="D175" s="17">
        <v>0.15</v>
      </c>
      <c r="E175" s="18">
        <f t="shared" si="15"/>
        <v>0.25</v>
      </c>
      <c r="F175" s="19">
        <v>30</v>
      </c>
      <c r="G175" s="20">
        <v>61.3</v>
      </c>
      <c r="H175" s="20">
        <v>29.9</v>
      </c>
      <c r="I175" s="20">
        <v>60.6</v>
      </c>
      <c r="J175" s="20">
        <v>60.3</v>
      </c>
      <c r="K175" s="20">
        <v>57.05</v>
      </c>
      <c r="L175" s="20">
        <v>60.4</v>
      </c>
      <c r="M175" s="20">
        <v>60.1</v>
      </c>
      <c r="N175" s="20">
        <v>60</v>
      </c>
      <c r="O175" s="20">
        <v>60.4</v>
      </c>
      <c r="P175" s="20">
        <v>60.4</v>
      </c>
      <c r="Q175" s="20">
        <v>58.95</v>
      </c>
      <c r="R175" s="21"/>
      <c r="S175" s="21"/>
      <c r="T175" s="21"/>
      <c r="U175" s="21"/>
      <c r="V175" s="21"/>
      <c r="W175" s="21"/>
      <c r="X175" s="21"/>
      <c r="Y175" s="21"/>
    </row>
    <row r="176" spans="1:25" x14ac:dyDescent="0.25">
      <c r="A176" s="16">
        <v>160</v>
      </c>
      <c r="B176" s="16"/>
      <c r="C176" s="17">
        <v>0.4</v>
      </c>
      <c r="D176" s="17">
        <v>0.15</v>
      </c>
      <c r="E176" s="18">
        <f t="shared" si="15"/>
        <v>0.25</v>
      </c>
      <c r="F176" s="19">
        <v>30</v>
      </c>
      <c r="G176" s="20">
        <v>61.3</v>
      </c>
      <c r="H176" s="20">
        <v>29.9</v>
      </c>
      <c r="I176" s="20">
        <v>60.6</v>
      </c>
      <c r="J176" s="20">
        <v>60.3</v>
      </c>
      <c r="K176" s="20">
        <v>56.85</v>
      </c>
      <c r="L176" s="20">
        <v>60.4</v>
      </c>
      <c r="M176" s="20">
        <v>60.1</v>
      </c>
      <c r="N176" s="20">
        <v>60</v>
      </c>
      <c r="O176" s="20">
        <v>60.4</v>
      </c>
      <c r="P176" s="20">
        <v>60.4</v>
      </c>
      <c r="Q176" s="20">
        <v>58.85</v>
      </c>
      <c r="R176" s="21"/>
      <c r="S176" s="21"/>
      <c r="T176" s="21"/>
      <c r="U176" s="21"/>
      <c r="V176" s="21"/>
      <c r="W176" s="21"/>
      <c r="X176" s="21"/>
      <c r="Y176" s="21"/>
    </row>
    <row r="177" spans="1:25" x14ac:dyDescent="0.25">
      <c r="A177" s="16"/>
      <c r="B177" s="16"/>
      <c r="C177" s="22"/>
      <c r="D177" s="22"/>
      <c r="E177" s="22"/>
      <c r="F177" s="19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21"/>
      <c r="S177" s="21"/>
      <c r="T177" s="21"/>
      <c r="U177" s="21"/>
      <c r="V177" s="21"/>
      <c r="W177" s="21"/>
      <c r="X177" s="21"/>
      <c r="Y177" s="21"/>
    </row>
    <row r="178" spans="1:25" x14ac:dyDescent="0.25">
      <c r="A178" s="16">
        <v>161</v>
      </c>
      <c r="B178" s="16" t="s">
        <v>63</v>
      </c>
      <c r="C178" s="17">
        <v>0.35</v>
      </c>
      <c r="D178" s="17">
        <v>0.1</v>
      </c>
      <c r="E178" s="18">
        <f t="shared" ref="E178:E187" si="16">C178-D178</f>
        <v>0.24999999999999997</v>
      </c>
      <c r="F178" s="19">
        <v>25</v>
      </c>
      <c r="G178" s="20">
        <v>61.349999999999994</v>
      </c>
      <c r="H178" s="20">
        <v>29.7</v>
      </c>
      <c r="I178" s="20">
        <v>60.6</v>
      </c>
      <c r="J178" s="20">
        <v>60.2</v>
      </c>
      <c r="K178" s="20">
        <v>57.1</v>
      </c>
      <c r="L178" s="20">
        <v>60.4</v>
      </c>
      <c r="M178" s="20">
        <v>60</v>
      </c>
      <c r="N178" s="20">
        <v>60</v>
      </c>
      <c r="O178" s="20">
        <v>60.6</v>
      </c>
      <c r="P178" s="20">
        <v>60.4</v>
      </c>
      <c r="Q178" s="20">
        <v>59.05</v>
      </c>
      <c r="S178" s="21"/>
      <c r="T178" s="21"/>
      <c r="U178" s="21"/>
      <c r="V178" s="21"/>
      <c r="W178" s="21"/>
      <c r="X178" s="21"/>
      <c r="Y178" s="21"/>
    </row>
    <row r="179" spans="1:25" x14ac:dyDescent="0.25">
      <c r="A179" s="16">
        <v>162</v>
      </c>
      <c r="B179" s="16"/>
      <c r="C179" s="17">
        <v>0.35</v>
      </c>
      <c r="D179" s="17">
        <v>0.1</v>
      </c>
      <c r="E179" s="18">
        <f t="shared" si="16"/>
        <v>0.24999999999999997</v>
      </c>
      <c r="F179" s="19">
        <v>25</v>
      </c>
      <c r="G179" s="20">
        <v>61.349999999999994</v>
      </c>
      <c r="H179" s="20">
        <v>29.7</v>
      </c>
      <c r="I179" s="20">
        <v>60.6</v>
      </c>
      <c r="J179" s="20">
        <v>60.2</v>
      </c>
      <c r="K179" s="20">
        <v>56.9</v>
      </c>
      <c r="L179" s="20">
        <v>60.4</v>
      </c>
      <c r="M179" s="20">
        <v>60</v>
      </c>
      <c r="N179" s="20">
        <v>60</v>
      </c>
      <c r="O179" s="20">
        <v>60.6</v>
      </c>
      <c r="P179" s="20">
        <v>60.4</v>
      </c>
      <c r="Q179" s="20">
        <v>59.05</v>
      </c>
      <c r="S179" s="21"/>
      <c r="T179" s="21"/>
      <c r="U179" s="21"/>
      <c r="V179" s="21"/>
      <c r="W179" s="21"/>
      <c r="X179" s="21"/>
      <c r="Y179" s="21"/>
    </row>
    <row r="180" spans="1:25" x14ac:dyDescent="0.25">
      <c r="A180" s="16">
        <v>163</v>
      </c>
      <c r="B180" s="16"/>
      <c r="C180" s="17">
        <v>0.35</v>
      </c>
      <c r="D180" s="17">
        <v>0.1</v>
      </c>
      <c r="E180" s="18">
        <f t="shared" si="16"/>
        <v>0.24999999999999997</v>
      </c>
      <c r="F180" s="19">
        <v>25</v>
      </c>
      <c r="G180" s="20">
        <v>61.5</v>
      </c>
      <c r="H180" s="20">
        <v>29.5</v>
      </c>
      <c r="I180" s="20">
        <v>60.6</v>
      </c>
      <c r="J180" s="20">
        <v>60.2</v>
      </c>
      <c r="K180" s="20">
        <v>56.95</v>
      </c>
      <c r="L180" s="20">
        <v>60.4</v>
      </c>
      <c r="M180" s="20">
        <v>60</v>
      </c>
      <c r="N180" s="20">
        <v>60</v>
      </c>
      <c r="O180" s="20">
        <v>60.6</v>
      </c>
      <c r="P180" s="20">
        <v>60.4</v>
      </c>
      <c r="Q180" s="20">
        <v>59.05</v>
      </c>
      <c r="S180" s="21"/>
      <c r="T180" s="21"/>
      <c r="U180" s="21"/>
      <c r="V180" s="21"/>
      <c r="W180" s="21"/>
      <c r="X180" s="21"/>
      <c r="Y180" s="21"/>
    </row>
    <row r="181" spans="1:25" x14ac:dyDescent="0.25">
      <c r="A181" s="16">
        <v>164</v>
      </c>
      <c r="B181" s="16"/>
      <c r="C181" s="17">
        <v>0.35</v>
      </c>
      <c r="D181" s="17">
        <v>0.1</v>
      </c>
      <c r="E181" s="18">
        <f t="shared" si="16"/>
        <v>0.24999999999999997</v>
      </c>
      <c r="F181" s="19">
        <v>25</v>
      </c>
      <c r="G181" s="20">
        <v>61.5</v>
      </c>
      <c r="H181" s="20">
        <v>29.6</v>
      </c>
      <c r="I181" s="20">
        <v>60.6</v>
      </c>
      <c r="J181" s="20">
        <v>60.2</v>
      </c>
      <c r="K181" s="20">
        <v>57</v>
      </c>
      <c r="L181" s="20">
        <v>60.4</v>
      </c>
      <c r="M181" s="20">
        <v>60</v>
      </c>
      <c r="N181" s="20">
        <v>60</v>
      </c>
      <c r="O181" s="20">
        <v>60.6</v>
      </c>
      <c r="P181" s="20">
        <v>60.4</v>
      </c>
      <c r="Q181" s="20">
        <v>59.05</v>
      </c>
      <c r="S181" s="21"/>
      <c r="T181" s="21"/>
      <c r="U181" s="21"/>
      <c r="V181" s="21"/>
      <c r="W181" s="21"/>
      <c r="X181" s="21"/>
      <c r="Y181" s="21"/>
    </row>
    <row r="182" spans="1:25" x14ac:dyDescent="0.25">
      <c r="A182" s="16">
        <v>165</v>
      </c>
      <c r="B182" s="16"/>
      <c r="C182" s="17">
        <v>0.35</v>
      </c>
      <c r="D182" s="17">
        <v>0.1</v>
      </c>
      <c r="E182" s="18">
        <f t="shared" si="16"/>
        <v>0.24999999999999997</v>
      </c>
      <c r="F182" s="19">
        <v>25</v>
      </c>
      <c r="G182" s="20">
        <v>61.5</v>
      </c>
      <c r="H182" s="20">
        <v>29.75</v>
      </c>
      <c r="I182" s="20">
        <v>60.7</v>
      </c>
      <c r="J182" s="20">
        <v>60.1</v>
      </c>
      <c r="K182" s="20">
        <v>57</v>
      </c>
      <c r="L182" s="20">
        <v>60.5</v>
      </c>
      <c r="M182" s="20">
        <v>60.1</v>
      </c>
      <c r="N182" s="20">
        <v>60.15</v>
      </c>
      <c r="O182" s="20">
        <v>60.7</v>
      </c>
      <c r="P182" s="20">
        <v>60.5</v>
      </c>
      <c r="Q182" s="20">
        <v>59.25</v>
      </c>
      <c r="S182" s="21"/>
      <c r="T182" s="21"/>
      <c r="U182" s="21"/>
      <c r="V182" s="21"/>
      <c r="W182" s="21"/>
      <c r="X182" s="21"/>
      <c r="Y182" s="21"/>
    </row>
    <row r="183" spans="1:25" x14ac:dyDescent="0.25">
      <c r="A183" s="16">
        <v>166</v>
      </c>
      <c r="B183" s="16"/>
      <c r="C183" s="17">
        <v>0.35</v>
      </c>
      <c r="D183" s="17">
        <v>0.1</v>
      </c>
      <c r="E183" s="18">
        <f t="shared" si="16"/>
        <v>0.24999999999999997</v>
      </c>
      <c r="F183" s="19">
        <v>25</v>
      </c>
      <c r="G183" s="20">
        <v>61.6</v>
      </c>
      <c r="H183" s="20">
        <v>29.65</v>
      </c>
      <c r="I183" s="20">
        <v>60.7</v>
      </c>
      <c r="J183" s="20">
        <v>60.3</v>
      </c>
      <c r="K183" s="20">
        <v>57</v>
      </c>
      <c r="L183" s="20">
        <v>60.5</v>
      </c>
      <c r="M183" s="20">
        <v>60.1</v>
      </c>
      <c r="N183" s="20">
        <v>60.15</v>
      </c>
      <c r="O183" s="20">
        <v>60.7</v>
      </c>
      <c r="P183" s="20">
        <v>60.5</v>
      </c>
      <c r="Q183" s="20">
        <v>59.25</v>
      </c>
      <c r="S183" s="21"/>
      <c r="T183" s="21"/>
      <c r="U183" s="21"/>
      <c r="V183" s="21"/>
      <c r="W183" s="21"/>
      <c r="X183" s="21"/>
      <c r="Y183" s="21"/>
    </row>
    <row r="184" spans="1:25" x14ac:dyDescent="0.25">
      <c r="A184" s="16">
        <v>167</v>
      </c>
      <c r="B184" s="16"/>
      <c r="C184" s="17">
        <v>0.35</v>
      </c>
      <c r="D184" s="17">
        <v>0.1</v>
      </c>
      <c r="E184" s="18">
        <f t="shared" si="16"/>
        <v>0.24999999999999997</v>
      </c>
      <c r="F184" s="19">
        <v>25</v>
      </c>
      <c r="G184" s="20">
        <v>61.400000000000006</v>
      </c>
      <c r="H184" s="20">
        <v>29.65</v>
      </c>
      <c r="I184" s="20">
        <v>60.7</v>
      </c>
      <c r="J184" s="20">
        <v>60.3</v>
      </c>
      <c r="K184" s="20">
        <v>57</v>
      </c>
      <c r="L184" s="20">
        <v>60.5</v>
      </c>
      <c r="M184" s="20">
        <v>60.1</v>
      </c>
      <c r="N184" s="20">
        <v>60.15</v>
      </c>
      <c r="O184" s="20">
        <v>60.7</v>
      </c>
      <c r="P184" s="20">
        <v>60.5</v>
      </c>
      <c r="Q184" s="20">
        <v>59.25</v>
      </c>
      <c r="S184" s="21"/>
      <c r="T184" s="21"/>
      <c r="U184" s="21"/>
      <c r="V184" s="21"/>
      <c r="W184" s="21"/>
      <c r="X184" s="21"/>
      <c r="Y184" s="21"/>
    </row>
    <row r="185" spans="1:25" x14ac:dyDescent="0.25">
      <c r="A185" s="16">
        <v>168</v>
      </c>
      <c r="B185" s="16"/>
      <c r="C185" s="17">
        <v>0.35</v>
      </c>
      <c r="D185" s="17">
        <v>0.1</v>
      </c>
      <c r="E185" s="18">
        <f t="shared" si="16"/>
        <v>0.24999999999999997</v>
      </c>
      <c r="F185" s="19">
        <v>25</v>
      </c>
      <c r="G185" s="20">
        <v>61.5</v>
      </c>
      <c r="H185" s="20">
        <v>29.75</v>
      </c>
      <c r="I185" s="20">
        <v>60.7</v>
      </c>
      <c r="J185" s="20">
        <v>60.1</v>
      </c>
      <c r="K185" s="20">
        <v>57.1</v>
      </c>
      <c r="L185" s="20">
        <v>60.5</v>
      </c>
      <c r="M185" s="20">
        <v>59.9</v>
      </c>
      <c r="N185" s="20">
        <v>60.05</v>
      </c>
      <c r="O185" s="20">
        <v>60.6</v>
      </c>
      <c r="P185" s="20">
        <v>60.5</v>
      </c>
      <c r="Q185" s="20">
        <v>59.25</v>
      </c>
      <c r="S185" s="21"/>
      <c r="T185" s="21"/>
      <c r="U185" s="21"/>
      <c r="V185" s="21"/>
      <c r="W185" s="21"/>
      <c r="X185" s="21"/>
      <c r="Y185" s="21"/>
    </row>
    <row r="186" spans="1:25" x14ac:dyDescent="0.25">
      <c r="A186" s="16">
        <v>169</v>
      </c>
      <c r="B186" s="16"/>
      <c r="C186" s="17">
        <v>0.35</v>
      </c>
      <c r="D186" s="17">
        <v>0.1</v>
      </c>
      <c r="E186" s="18">
        <f t="shared" si="16"/>
        <v>0.24999999999999997</v>
      </c>
      <c r="F186" s="19">
        <v>25</v>
      </c>
      <c r="G186" s="20">
        <v>61.55</v>
      </c>
      <c r="H186" s="20">
        <v>29.65</v>
      </c>
      <c r="I186" s="20">
        <v>60.7</v>
      </c>
      <c r="J186" s="20">
        <v>60.1</v>
      </c>
      <c r="K186" s="20">
        <v>56.9</v>
      </c>
      <c r="L186" s="20">
        <v>60.5</v>
      </c>
      <c r="M186" s="20">
        <v>59.9</v>
      </c>
      <c r="N186" s="20">
        <v>60.05</v>
      </c>
      <c r="O186" s="20">
        <v>60.5</v>
      </c>
      <c r="P186" s="20">
        <v>60.5</v>
      </c>
      <c r="Q186" s="20">
        <v>59.25</v>
      </c>
      <c r="S186" s="21"/>
      <c r="T186" s="21"/>
      <c r="U186" s="21"/>
      <c r="V186" s="21"/>
      <c r="W186" s="21"/>
      <c r="X186" s="21"/>
      <c r="Y186" s="21"/>
    </row>
    <row r="187" spans="1:25" x14ac:dyDescent="0.25">
      <c r="A187" s="16">
        <v>170</v>
      </c>
      <c r="B187" s="16"/>
      <c r="C187" s="17">
        <v>0.35</v>
      </c>
      <c r="D187" s="17">
        <v>0.1</v>
      </c>
      <c r="E187" s="18">
        <f t="shared" si="16"/>
        <v>0.24999999999999997</v>
      </c>
      <c r="F187" s="19">
        <v>25</v>
      </c>
      <c r="G187" s="20">
        <v>61.5</v>
      </c>
      <c r="H187" s="20">
        <v>29.65</v>
      </c>
      <c r="I187" s="20">
        <v>60.7</v>
      </c>
      <c r="J187" s="20">
        <v>60.1</v>
      </c>
      <c r="K187" s="20">
        <v>56.9</v>
      </c>
      <c r="L187" s="20">
        <v>60.5</v>
      </c>
      <c r="M187" s="20">
        <v>59.9</v>
      </c>
      <c r="N187" s="20">
        <v>60.05</v>
      </c>
      <c r="O187" s="20">
        <v>60.5</v>
      </c>
      <c r="P187" s="20">
        <v>60.5</v>
      </c>
      <c r="Q187" s="20">
        <v>59.25</v>
      </c>
      <c r="S187" s="21"/>
      <c r="T187" s="21"/>
      <c r="U187" s="21"/>
      <c r="V187" s="21"/>
      <c r="W187" s="21"/>
      <c r="X187" s="21"/>
      <c r="Y187" s="21"/>
    </row>
    <row r="188" spans="1:25" x14ac:dyDescent="0.25">
      <c r="A188" s="16"/>
      <c r="B188" s="16"/>
      <c r="C188" s="22"/>
      <c r="D188" s="22"/>
      <c r="E188" s="22"/>
      <c r="F188" s="19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21"/>
      <c r="S188" s="21"/>
      <c r="T188" s="21"/>
      <c r="U188" s="21"/>
      <c r="V188" s="21"/>
      <c r="W188" s="21"/>
      <c r="X188" s="21"/>
      <c r="Y188" s="21"/>
    </row>
    <row r="189" spans="1:25" x14ac:dyDescent="0.25">
      <c r="A189" s="16">
        <v>171</v>
      </c>
      <c r="B189" s="16" t="s">
        <v>64</v>
      </c>
      <c r="C189" s="17">
        <v>0.25</v>
      </c>
      <c r="D189" s="17">
        <v>0.1</v>
      </c>
      <c r="E189" s="18">
        <f t="shared" ref="E189:E198" si="17">C189-D189</f>
        <v>0.15</v>
      </c>
      <c r="F189" s="19">
        <v>20</v>
      </c>
      <c r="G189" s="20">
        <v>61.5</v>
      </c>
      <c r="H189" s="20">
        <v>29.75</v>
      </c>
      <c r="I189" s="20">
        <v>60.4</v>
      </c>
      <c r="J189" s="20">
        <v>60</v>
      </c>
      <c r="K189" s="20">
        <v>57</v>
      </c>
      <c r="L189" s="20">
        <v>60.2</v>
      </c>
      <c r="M189" s="20">
        <v>59.8</v>
      </c>
      <c r="N189" s="20">
        <v>60.05</v>
      </c>
      <c r="O189" s="20">
        <v>60.4</v>
      </c>
      <c r="P189" s="20">
        <v>60.4</v>
      </c>
      <c r="Q189" s="20">
        <v>59.2</v>
      </c>
      <c r="S189" s="21"/>
      <c r="T189" s="21"/>
      <c r="U189" s="21"/>
      <c r="V189" s="21"/>
      <c r="W189" s="21"/>
      <c r="X189" s="21"/>
      <c r="Y189" s="21"/>
    </row>
    <row r="190" spans="1:25" x14ac:dyDescent="0.25">
      <c r="A190" s="16">
        <v>172</v>
      </c>
      <c r="B190" s="16"/>
      <c r="C190" s="17">
        <v>0.25</v>
      </c>
      <c r="D190" s="17">
        <v>0.1</v>
      </c>
      <c r="E190" s="18">
        <f t="shared" si="17"/>
        <v>0.15</v>
      </c>
      <c r="F190" s="19">
        <v>20</v>
      </c>
      <c r="G190" s="20">
        <v>61.5</v>
      </c>
      <c r="H190" s="20">
        <v>29.65</v>
      </c>
      <c r="I190" s="20">
        <v>60.5</v>
      </c>
      <c r="J190" s="20">
        <v>60.1</v>
      </c>
      <c r="K190" s="20">
        <v>57</v>
      </c>
      <c r="L190" s="20">
        <v>60.3</v>
      </c>
      <c r="M190" s="20">
        <v>59.9</v>
      </c>
      <c r="N190" s="20">
        <v>60.15</v>
      </c>
      <c r="O190" s="20">
        <v>60.5</v>
      </c>
      <c r="P190" s="20">
        <v>60.5</v>
      </c>
      <c r="Q190" s="20">
        <v>59.3</v>
      </c>
      <c r="S190" s="21"/>
      <c r="T190" s="21"/>
      <c r="U190" s="21"/>
      <c r="V190" s="21"/>
      <c r="W190" s="21"/>
      <c r="X190" s="21"/>
      <c r="Y190" s="21"/>
    </row>
    <row r="191" spans="1:25" x14ac:dyDescent="0.25">
      <c r="A191" s="16">
        <v>173</v>
      </c>
      <c r="B191" s="16"/>
      <c r="C191" s="17">
        <v>0.25</v>
      </c>
      <c r="D191" s="17">
        <v>0.1</v>
      </c>
      <c r="E191" s="18">
        <f t="shared" si="17"/>
        <v>0.15</v>
      </c>
      <c r="F191" s="19">
        <v>20</v>
      </c>
      <c r="G191" s="20">
        <v>61.4</v>
      </c>
      <c r="H191" s="20">
        <v>29.549999999999997</v>
      </c>
      <c r="I191" s="20">
        <v>60.5</v>
      </c>
      <c r="J191" s="20">
        <v>59.9</v>
      </c>
      <c r="K191" s="20">
        <v>57</v>
      </c>
      <c r="L191" s="20">
        <v>60.3</v>
      </c>
      <c r="M191" s="20">
        <v>59.9</v>
      </c>
      <c r="N191" s="20">
        <v>60.05</v>
      </c>
      <c r="O191" s="20">
        <v>60.5</v>
      </c>
      <c r="P191" s="20">
        <v>60.3</v>
      </c>
      <c r="Q191" s="20">
        <v>59.3</v>
      </c>
      <c r="S191" s="21"/>
      <c r="T191" s="21"/>
      <c r="U191" s="21"/>
      <c r="V191" s="21"/>
      <c r="W191" s="21"/>
      <c r="X191" s="21"/>
      <c r="Y191" s="21"/>
    </row>
    <row r="192" spans="1:25" x14ac:dyDescent="0.25">
      <c r="A192" s="16">
        <v>174</v>
      </c>
      <c r="B192" s="16"/>
      <c r="C192" s="17">
        <v>0.25</v>
      </c>
      <c r="D192" s="17">
        <v>0.1</v>
      </c>
      <c r="E192" s="18">
        <f t="shared" si="17"/>
        <v>0.15</v>
      </c>
      <c r="F192" s="19">
        <v>20</v>
      </c>
      <c r="G192" s="20">
        <v>61.3</v>
      </c>
      <c r="H192" s="20">
        <v>29.65</v>
      </c>
      <c r="I192" s="20">
        <v>60.3</v>
      </c>
      <c r="J192" s="20">
        <v>59.9</v>
      </c>
      <c r="K192" s="20">
        <v>56.8</v>
      </c>
      <c r="L192" s="20">
        <v>60.1</v>
      </c>
      <c r="M192" s="20">
        <v>59.9</v>
      </c>
      <c r="N192" s="20">
        <v>59.95</v>
      </c>
      <c r="O192" s="20">
        <v>60.3</v>
      </c>
      <c r="P192" s="20">
        <v>60.3</v>
      </c>
      <c r="Q192" s="20">
        <v>59.2</v>
      </c>
      <c r="S192" s="21"/>
      <c r="T192" s="21"/>
      <c r="U192" s="21"/>
      <c r="V192" s="21"/>
      <c r="W192" s="21"/>
      <c r="X192" s="21"/>
      <c r="Y192" s="21"/>
    </row>
    <row r="193" spans="1:25" x14ac:dyDescent="0.25">
      <c r="A193" s="16">
        <v>175</v>
      </c>
      <c r="B193" s="16"/>
      <c r="C193" s="17">
        <v>0.25</v>
      </c>
      <c r="D193" s="17">
        <v>0.1</v>
      </c>
      <c r="E193" s="18">
        <f t="shared" si="17"/>
        <v>0.15</v>
      </c>
      <c r="F193" s="19">
        <v>20</v>
      </c>
      <c r="G193" s="20">
        <v>61.6</v>
      </c>
      <c r="H193" s="20">
        <v>29.75</v>
      </c>
      <c r="I193" s="20">
        <v>60.4</v>
      </c>
      <c r="J193" s="20">
        <v>60</v>
      </c>
      <c r="K193" s="20">
        <v>57</v>
      </c>
      <c r="L193" s="20">
        <v>60.2</v>
      </c>
      <c r="M193" s="20">
        <v>60</v>
      </c>
      <c r="N193" s="20">
        <v>60.05</v>
      </c>
      <c r="O193" s="20">
        <v>60.4</v>
      </c>
      <c r="P193" s="20">
        <v>60.4</v>
      </c>
      <c r="Q193" s="20">
        <v>59.3</v>
      </c>
      <c r="S193" s="21"/>
      <c r="T193" s="21"/>
      <c r="U193" s="21"/>
      <c r="V193" s="21"/>
      <c r="W193" s="21"/>
      <c r="X193" s="21"/>
      <c r="Y193" s="21"/>
    </row>
    <row r="194" spans="1:25" x14ac:dyDescent="0.25">
      <c r="A194" s="16">
        <v>176</v>
      </c>
      <c r="B194" s="16"/>
      <c r="C194" s="17">
        <v>0.25</v>
      </c>
      <c r="D194" s="17">
        <v>0.1</v>
      </c>
      <c r="E194" s="18">
        <f t="shared" si="17"/>
        <v>0.15</v>
      </c>
      <c r="F194" s="19">
        <v>20</v>
      </c>
      <c r="G194" s="20">
        <v>61.5</v>
      </c>
      <c r="H194" s="20">
        <v>29.55</v>
      </c>
      <c r="I194" s="20">
        <v>60.4</v>
      </c>
      <c r="J194" s="20">
        <v>60</v>
      </c>
      <c r="K194" s="20">
        <v>57.1</v>
      </c>
      <c r="L194" s="20">
        <v>60.2</v>
      </c>
      <c r="M194" s="20">
        <v>60</v>
      </c>
      <c r="N194" s="20">
        <v>60.05</v>
      </c>
      <c r="O194" s="20">
        <v>60.4</v>
      </c>
      <c r="P194" s="20">
        <v>60.4</v>
      </c>
      <c r="Q194" s="20">
        <v>59.3</v>
      </c>
      <c r="S194" s="21"/>
      <c r="T194" s="21"/>
      <c r="U194" s="21"/>
      <c r="V194" s="21"/>
      <c r="W194" s="21"/>
      <c r="X194" s="21"/>
      <c r="Y194" s="21"/>
    </row>
    <row r="195" spans="1:25" x14ac:dyDescent="0.25">
      <c r="A195" s="16">
        <v>177</v>
      </c>
      <c r="B195" s="16"/>
      <c r="C195" s="17">
        <v>0.25</v>
      </c>
      <c r="D195" s="17">
        <v>0.1</v>
      </c>
      <c r="E195" s="18">
        <f t="shared" si="17"/>
        <v>0.15</v>
      </c>
      <c r="F195" s="19">
        <v>20</v>
      </c>
      <c r="G195" s="20">
        <v>61.6</v>
      </c>
      <c r="H195" s="20">
        <v>29.55</v>
      </c>
      <c r="I195" s="20">
        <v>60.4</v>
      </c>
      <c r="J195" s="20">
        <v>60</v>
      </c>
      <c r="K195" s="20">
        <v>57</v>
      </c>
      <c r="L195" s="20">
        <v>60.2</v>
      </c>
      <c r="M195" s="20">
        <v>60</v>
      </c>
      <c r="N195" s="20">
        <v>60.05</v>
      </c>
      <c r="O195" s="20">
        <v>60.4</v>
      </c>
      <c r="P195" s="20">
        <v>60.4</v>
      </c>
      <c r="Q195" s="20">
        <v>59.3</v>
      </c>
      <c r="S195" s="21"/>
      <c r="T195" s="21"/>
      <c r="U195" s="21"/>
      <c r="V195" s="21"/>
      <c r="W195" s="21"/>
      <c r="X195" s="21"/>
      <c r="Y195" s="21"/>
    </row>
    <row r="196" spans="1:25" x14ac:dyDescent="0.25">
      <c r="A196" s="16">
        <v>178</v>
      </c>
      <c r="B196" s="16"/>
      <c r="C196" s="17">
        <v>0.25</v>
      </c>
      <c r="D196" s="17">
        <v>0.1</v>
      </c>
      <c r="E196" s="18">
        <f t="shared" si="17"/>
        <v>0.15</v>
      </c>
      <c r="F196" s="19">
        <v>20</v>
      </c>
      <c r="G196" s="20">
        <v>61.4</v>
      </c>
      <c r="H196" s="20">
        <v>29.55</v>
      </c>
      <c r="I196" s="20">
        <v>60.4</v>
      </c>
      <c r="J196" s="20">
        <v>60</v>
      </c>
      <c r="K196" s="20">
        <v>57</v>
      </c>
      <c r="L196" s="20">
        <v>60.2</v>
      </c>
      <c r="M196" s="20">
        <v>59.8</v>
      </c>
      <c r="N196" s="20">
        <v>60.05</v>
      </c>
      <c r="O196" s="20">
        <v>60.4</v>
      </c>
      <c r="P196" s="20">
        <v>60.4</v>
      </c>
      <c r="Q196" s="20">
        <v>59.3</v>
      </c>
      <c r="S196" s="21"/>
      <c r="T196" s="21"/>
      <c r="U196" s="21"/>
      <c r="V196" s="21"/>
      <c r="W196" s="21"/>
      <c r="X196" s="21"/>
      <c r="Y196" s="21"/>
    </row>
    <row r="197" spans="1:25" x14ac:dyDescent="0.25">
      <c r="A197" s="16">
        <v>179</v>
      </c>
      <c r="B197" s="16"/>
      <c r="C197" s="17">
        <v>0.25</v>
      </c>
      <c r="D197" s="17">
        <v>0.1</v>
      </c>
      <c r="E197" s="18">
        <f t="shared" si="17"/>
        <v>0.15</v>
      </c>
      <c r="F197" s="19">
        <v>20</v>
      </c>
      <c r="G197" s="20">
        <v>61.6</v>
      </c>
      <c r="H197" s="20">
        <v>29.65</v>
      </c>
      <c r="I197" s="20">
        <v>60.5</v>
      </c>
      <c r="J197" s="20">
        <v>60.1</v>
      </c>
      <c r="K197" s="20">
        <v>56.900000000000006</v>
      </c>
      <c r="L197" s="20">
        <v>60.3</v>
      </c>
      <c r="M197" s="20">
        <v>59.9</v>
      </c>
      <c r="N197" s="20">
        <v>60.05</v>
      </c>
      <c r="O197" s="20">
        <v>60.5</v>
      </c>
      <c r="P197" s="20">
        <v>60.3</v>
      </c>
      <c r="Q197" s="20">
        <v>59.3</v>
      </c>
      <c r="S197" s="21"/>
      <c r="T197" s="21"/>
      <c r="U197" s="21"/>
      <c r="V197" s="21"/>
      <c r="W197" s="21"/>
      <c r="X197" s="21"/>
      <c r="Y197" s="21"/>
    </row>
    <row r="198" spans="1:25" x14ac:dyDescent="0.25">
      <c r="A198" s="16">
        <v>180</v>
      </c>
      <c r="B198" s="16"/>
      <c r="C198" s="17">
        <v>0.25</v>
      </c>
      <c r="D198" s="17">
        <v>0.1</v>
      </c>
      <c r="E198" s="18">
        <f t="shared" si="17"/>
        <v>0.15</v>
      </c>
      <c r="F198" s="19">
        <v>20</v>
      </c>
      <c r="G198" s="20">
        <v>61.6</v>
      </c>
      <c r="H198" s="20">
        <v>29.65</v>
      </c>
      <c r="I198" s="20">
        <v>60.5</v>
      </c>
      <c r="J198" s="20">
        <v>60.1</v>
      </c>
      <c r="K198" s="20">
        <v>57</v>
      </c>
      <c r="L198" s="20">
        <v>60.3</v>
      </c>
      <c r="M198" s="20">
        <v>59.9</v>
      </c>
      <c r="N198" s="20">
        <v>60.05</v>
      </c>
      <c r="O198" s="20">
        <v>60.5</v>
      </c>
      <c r="P198" s="20">
        <v>60.3</v>
      </c>
      <c r="Q198" s="20">
        <v>59.3</v>
      </c>
      <c r="S198" s="21"/>
      <c r="T198" s="21"/>
      <c r="U198" s="21"/>
      <c r="V198" s="21"/>
      <c r="W198" s="21"/>
      <c r="X198" s="21"/>
      <c r="Y198" s="21"/>
    </row>
    <row r="199" spans="1:25" x14ac:dyDescent="0.25">
      <c r="A199" s="16"/>
      <c r="B199" s="16"/>
      <c r="C199" s="22"/>
      <c r="D199" s="22"/>
      <c r="E199" s="22"/>
      <c r="F199" s="19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21"/>
      <c r="S199" s="21"/>
      <c r="T199" s="21"/>
      <c r="U199" s="21"/>
      <c r="V199" s="21"/>
      <c r="W199" s="21"/>
      <c r="X199" s="21"/>
      <c r="Y199" s="21"/>
    </row>
    <row r="200" spans="1:25" x14ac:dyDescent="0.25">
      <c r="A200" s="16">
        <v>181</v>
      </c>
      <c r="B200" s="16" t="s">
        <v>65</v>
      </c>
      <c r="C200" s="17">
        <v>0.17499999999999999</v>
      </c>
      <c r="D200" s="17">
        <v>0.1</v>
      </c>
      <c r="E200" s="18">
        <f t="shared" ref="E200:E209" si="18">C200-D200</f>
        <v>7.4999999999999983E-2</v>
      </c>
      <c r="F200" s="19">
        <v>15</v>
      </c>
      <c r="G200" s="20">
        <v>58.55</v>
      </c>
      <c r="H200" s="20">
        <v>28.6</v>
      </c>
      <c r="I200" s="20">
        <v>57.4</v>
      </c>
      <c r="J200" s="20">
        <v>57.4</v>
      </c>
      <c r="K200" s="20">
        <v>54.3</v>
      </c>
      <c r="L200" s="20">
        <v>57.2</v>
      </c>
      <c r="M200" s="20">
        <v>57.2</v>
      </c>
      <c r="N200" s="20">
        <v>57</v>
      </c>
      <c r="O200" s="20">
        <v>57.4</v>
      </c>
      <c r="P200" s="20">
        <v>56.8</v>
      </c>
      <c r="Q200" s="20">
        <v>55.55</v>
      </c>
      <c r="R200" s="21"/>
      <c r="S200" s="21"/>
      <c r="T200" s="21"/>
      <c r="U200" s="21"/>
      <c r="V200" s="21"/>
      <c r="W200" s="21"/>
      <c r="X200" s="21"/>
      <c r="Y200" s="21"/>
    </row>
    <row r="201" spans="1:25" x14ac:dyDescent="0.25">
      <c r="A201" s="16">
        <v>182</v>
      </c>
      <c r="B201" s="16"/>
      <c r="C201" s="17">
        <v>0.17499999999999999</v>
      </c>
      <c r="D201" s="17">
        <v>0.1</v>
      </c>
      <c r="E201" s="18">
        <f t="shared" si="18"/>
        <v>7.4999999999999983E-2</v>
      </c>
      <c r="F201" s="19">
        <v>15</v>
      </c>
      <c r="G201" s="20">
        <v>58.650000000000006</v>
      </c>
      <c r="H201" s="20">
        <v>28.7</v>
      </c>
      <c r="I201" s="20">
        <v>57.5</v>
      </c>
      <c r="J201" s="20">
        <v>57.6</v>
      </c>
      <c r="K201" s="20">
        <v>54.400000000000006</v>
      </c>
      <c r="L201" s="20">
        <v>57.3</v>
      </c>
      <c r="M201" s="20">
        <v>57.3</v>
      </c>
      <c r="N201" s="20">
        <v>57.2</v>
      </c>
      <c r="O201" s="20">
        <v>57.6</v>
      </c>
      <c r="P201" s="20">
        <v>57.1</v>
      </c>
      <c r="Q201" s="20">
        <v>55.8</v>
      </c>
      <c r="R201" s="21"/>
      <c r="S201" s="21"/>
      <c r="T201" s="21"/>
      <c r="U201" s="21"/>
      <c r="V201" s="21"/>
      <c r="W201" s="21"/>
      <c r="X201" s="21"/>
      <c r="Y201" s="21"/>
    </row>
    <row r="202" spans="1:25" x14ac:dyDescent="0.25">
      <c r="A202" s="16">
        <v>183</v>
      </c>
      <c r="B202" s="16"/>
      <c r="C202" s="17">
        <v>0.17499999999999999</v>
      </c>
      <c r="D202" s="17">
        <v>0.1</v>
      </c>
      <c r="E202" s="18">
        <f t="shared" si="18"/>
        <v>7.4999999999999983E-2</v>
      </c>
      <c r="F202" s="19">
        <v>15</v>
      </c>
      <c r="G202" s="20">
        <v>58.8</v>
      </c>
      <c r="H202" s="20">
        <v>28.3</v>
      </c>
      <c r="I202" s="20">
        <v>57.6</v>
      </c>
      <c r="J202" s="20">
        <v>57.6</v>
      </c>
      <c r="K202" s="20">
        <v>54.2</v>
      </c>
      <c r="L202" s="20">
        <v>57.5</v>
      </c>
      <c r="M202" s="20">
        <v>57.3</v>
      </c>
      <c r="N202" s="20">
        <v>57.2</v>
      </c>
      <c r="O202" s="20">
        <v>57.6</v>
      </c>
      <c r="P202" s="20">
        <v>57.1</v>
      </c>
      <c r="Q202" s="20">
        <v>55.7</v>
      </c>
      <c r="R202" s="21"/>
      <c r="S202" s="21"/>
      <c r="T202" s="21"/>
      <c r="U202" s="21"/>
      <c r="V202" s="21"/>
      <c r="W202" s="21"/>
      <c r="X202" s="21"/>
      <c r="Y202" s="21"/>
    </row>
    <row r="203" spans="1:25" x14ac:dyDescent="0.25">
      <c r="A203" s="16">
        <v>184</v>
      </c>
      <c r="B203" s="16"/>
      <c r="C203" s="17">
        <v>0.17499999999999999</v>
      </c>
      <c r="D203" s="17">
        <v>0.1</v>
      </c>
      <c r="E203" s="18">
        <f t="shared" si="18"/>
        <v>7.4999999999999983E-2</v>
      </c>
      <c r="F203" s="19">
        <v>15</v>
      </c>
      <c r="G203" s="20">
        <v>58.9</v>
      </c>
      <c r="H203" s="20">
        <v>28.4</v>
      </c>
      <c r="I203" s="20">
        <v>57.7</v>
      </c>
      <c r="J203" s="20">
        <v>57.7</v>
      </c>
      <c r="K203" s="20">
        <v>54.45</v>
      </c>
      <c r="L203" s="20">
        <v>57.5</v>
      </c>
      <c r="M203" s="20">
        <v>57.4</v>
      </c>
      <c r="N203" s="20">
        <v>57.3</v>
      </c>
      <c r="O203" s="20">
        <v>57.7</v>
      </c>
      <c r="P203" s="20">
        <v>57.2</v>
      </c>
      <c r="Q203" s="20">
        <v>55.849999999999994</v>
      </c>
      <c r="R203" s="21"/>
      <c r="S203" s="21"/>
      <c r="T203" s="21"/>
      <c r="U203" s="21"/>
      <c r="V203" s="21"/>
      <c r="W203" s="21"/>
      <c r="X203" s="21"/>
      <c r="Y203" s="21"/>
    </row>
    <row r="204" spans="1:25" x14ac:dyDescent="0.25">
      <c r="A204" s="16">
        <v>185</v>
      </c>
      <c r="B204" s="16"/>
      <c r="C204" s="17">
        <v>0.17499999999999999</v>
      </c>
      <c r="D204" s="17">
        <v>0.1</v>
      </c>
      <c r="E204" s="18">
        <f t="shared" si="18"/>
        <v>7.4999999999999983E-2</v>
      </c>
      <c r="F204" s="19">
        <v>15</v>
      </c>
      <c r="G204" s="20">
        <v>59</v>
      </c>
      <c r="H204" s="20">
        <v>28.5</v>
      </c>
      <c r="I204" s="20">
        <v>57.8</v>
      </c>
      <c r="J204" s="20">
        <v>57.8</v>
      </c>
      <c r="K204" s="20">
        <v>54.8</v>
      </c>
      <c r="L204" s="20">
        <v>57.6</v>
      </c>
      <c r="M204" s="20">
        <v>57.6</v>
      </c>
      <c r="N204" s="20">
        <v>57.45</v>
      </c>
      <c r="O204" s="20">
        <v>57.8</v>
      </c>
      <c r="P204" s="20">
        <v>57.5</v>
      </c>
      <c r="Q204" s="20">
        <v>56.05</v>
      </c>
      <c r="R204" s="21"/>
      <c r="S204" s="21"/>
      <c r="T204" s="21"/>
      <c r="U204" s="21"/>
      <c r="V204" s="21"/>
      <c r="W204" s="21"/>
      <c r="X204" s="21"/>
      <c r="Y204" s="21"/>
    </row>
    <row r="205" spans="1:25" x14ac:dyDescent="0.25">
      <c r="A205" s="16">
        <v>186</v>
      </c>
      <c r="B205" s="16"/>
      <c r="C205" s="17">
        <v>0.17499999999999999</v>
      </c>
      <c r="D205" s="17">
        <v>0.1</v>
      </c>
      <c r="E205" s="18">
        <f t="shared" si="18"/>
        <v>7.4999999999999983E-2</v>
      </c>
      <c r="F205" s="19">
        <v>15</v>
      </c>
      <c r="G205" s="20">
        <v>59.3</v>
      </c>
      <c r="H205" s="20">
        <v>28.6</v>
      </c>
      <c r="I205" s="20">
        <v>58.1</v>
      </c>
      <c r="J205" s="20">
        <v>58.1</v>
      </c>
      <c r="K205" s="20">
        <v>54.900000000000006</v>
      </c>
      <c r="L205" s="20">
        <v>57.8</v>
      </c>
      <c r="M205" s="20">
        <v>57.7</v>
      </c>
      <c r="N205" s="20">
        <v>57.6</v>
      </c>
      <c r="O205" s="20">
        <v>58.1</v>
      </c>
      <c r="P205" s="20">
        <v>57.5</v>
      </c>
      <c r="Q205" s="20">
        <v>56.25</v>
      </c>
      <c r="R205" s="21"/>
      <c r="S205" s="21"/>
      <c r="T205" s="21"/>
      <c r="U205" s="21"/>
      <c r="V205" s="21"/>
      <c r="W205" s="21"/>
      <c r="X205" s="21"/>
      <c r="Y205" s="21"/>
    </row>
    <row r="206" spans="1:25" x14ac:dyDescent="0.25">
      <c r="A206" s="16">
        <v>187</v>
      </c>
      <c r="B206" s="16"/>
      <c r="C206" s="17">
        <v>0.17499999999999999</v>
      </c>
      <c r="D206" s="17">
        <v>0.1</v>
      </c>
      <c r="E206" s="18">
        <f t="shared" si="18"/>
        <v>7.4999999999999983E-2</v>
      </c>
      <c r="F206" s="19">
        <v>15</v>
      </c>
      <c r="G206" s="20">
        <v>59.5</v>
      </c>
      <c r="H206" s="20">
        <v>28.6</v>
      </c>
      <c r="I206" s="20">
        <v>58.2</v>
      </c>
      <c r="J206" s="20">
        <v>58.2</v>
      </c>
      <c r="K206" s="20">
        <v>55</v>
      </c>
      <c r="L206" s="20">
        <v>58</v>
      </c>
      <c r="M206" s="20">
        <v>57.8</v>
      </c>
      <c r="N206" s="20">
        <v>57.8</v>
      </c>
      <c r="O206" s="20">
        <v>58.2</v>
      </c>
      <c r="P206" s="20">
        <v>57.6</v>
      </c>
      <c r="Q206" s="20">
        <v>56.55</v>
      </c>
      <c r="R206" s="21"/>
      <c r="S206" s="21"/>
      <c r="T206" s="21"/>
      <c r="U206" s="21"/>
      <c r="V206" s="21"/>
      <c r="W206" s="21"/>
      <c r="X206" s="21"/>
      <c r="Y206" s="21"/>
    </row>
    <row r="207" spans="1:25" x14ac:dyDescent="0.25">
      <c r="A207" s="16">
        <v>188</v>
      </c>
      <c r="B207" s="16"/>
      <c r="C207" s="17">
        <v>0.17499999999999999</v>
      </c>
      <c r="D207" s="17">
        <v>0.1</v>
      </c>
      <c r="E207" s="18">
        <f t="shared" si="18"/>
        <v>7.4999999999999983E-2</v>
      </c>
      <c r="F207" s="19">
        <v>15</v>
      </c>
      <c r="G207" s="20">
        <v>59.55</v>
      </c>
      <c r="H207" s="20">
        <v>28.6</v>
      </c>
      <c r="I207" s="20">
        <v>58.4</v>
      </c>
      <c r="J207" s="20">
        <v>58.4</v>
      </c>
      <c r="K207" s="20">
        <v>55.099999999999994</v>
      </c>
      <c r="L207" s="20">
        <v>58</v>
      </c>
      <c r="M207" s="20">
        <v>58</v>
      </c>
      <c r="N207" s="20">
        <v>57.8</v>
      </c>
      <c r="O207" s="20">
        <v>58.2</v>
      </c>
      <c r="P207" s="20">
        <v>57.8</v>
      </c>
      <c r="Q207" s="20">
        <v>56.55</v>
      </c>
      <c r="R207" s="21"/>
      <c r="S207" s="21"/>
      <c r="T207" s="21"/>
      <c r="U207" s="21"/>
      <c r="V207" s="21"/>
      <c r="W207" s="21"/>
      <c r="X207" s="21"/>
      <c r="Y207" s="21"/>
    </row>
    <row r="208" spans="1:25" x14ac:dyDescent="0.25">
      <c r="A208" s="16">
        <v>189</v>
      </c>
      <c r="B208" s="16"/>
      <c r="C208" s="17">
        <v>0.17499999999999999</v>
      </c>
      <c r="D208" s="17">
        <v>0.1</v>
      </c>
      <c r="E208" s="18">
        <f t="shared" si="18"/>
        <v>7.4999999999999983E-2</v>
      </c>
      <c r="F208" s="19">
        <v>15</v>
      </c>
      <c r="G208" s="20">
        <v>59.8</v>
      </c>
      <c r="H208" s="20">
        <v>28.6</v>
      </c>
      <c r="I208" s="20">
        <v>58.5</v>
      </c>
      <c r="J208" s="20">
        <v>58.5</v>
      </c>
      <c r="K208" s="20">
        <v>55.3</v>
      </c>
      <c r="L208" s="20">
        <v>58.3</v>
      </c>
      <c r="M208" s="20">
        <v>58.1</v>
      </c>
      <c r="N208" s="20">
        <v>58.05</v>
      </c>
      <c r="O208" s="20">
        <v>58.5</v>
      </c>
      <c r="P208" s="20">
        <v>57.9</v>
      </c>
      <c r="Q208" s="20">
        <v>56.75</v>
      </c>
      <c r="R208" s="21"/>
      <c r="S208" s="21"/>
      <c r="T208" s="21"/>
      <c r="U208" s="21"/>
      <c r="V208" s="21"/>
      <c r="W208" s="21"/>
      <c r="X208" s="21"/>
      <c r="Y208" s="21"/>
    </row>
    <row r="209" spans="1:25" x14ac:dyDescent="0.25">
      <c r="A209" s="16">
        <v>190</v>
      </c>
      <c r="B209" s="16"/>
      <c r="C209" s="17">
        <v>0.17499999999999999</v>
      </c>
      <c r="D209" s="17">
        <v>0.1</v>
      </c>
      <c r="E209" s="18">
        <f t="shared" si="18"/>
        <v>7.4999999999999983E-2</v>
      </c>
      <c r="F209" s="19">
        <v>15</v>
      </c>
      <c r="G209" s="20">
        <v>59.849999999999994</v>
      </c>
      <c r="H209" s="20">
        <v>28.5</v>
      </c>
      <c r="I209" s="20">
        <v>58.5</v>
      </c>
      <c r="J209" s="20">
        <v>58.5</v>
      </c>
      <c r="K209" s="20">
        <v>55.2</v>
      </c>
      <c r="L209" s="20">
        <v>58.3</v>
      </c>
      <c r="M209" s="20">
        <v>58.1</v>
      </c>
      <c r="N209" s="20">
        <v>58.05</v>
      </c>
      <c r="O209" s="20">
        <v>58.5</v>
      </c>
      <c r="P209" s="20">
        <v>58.1</v>
      </c>
      <c r="Q209" s="20">
        <v>56.75</v>
      </c>
      <c r="R209" s="21"/>
      <c r="S209" s="21"/>
      <c r="T209" s="21"/>
      <c r="U209" s="21"/>
      <c r="V209" s="21"/>
      <c r="W209" s="21"/>
      <c r="X209" s="21"/>
      <c r="Y209" s="21"/>
    </row>
    <row r="210" spans="1:25" x14ac:dyDescent="0.25">
      <c r="A210" s="16"/>
      <c r="B210" s="16"/>
      <c r="C210" s="22"/>
      <c r="D210" s="22"/>
      <c r="E210" s="22"/>
      <c r="F210" s="19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21"/>
      <c r="S210" s="21"/>
      <c r="T210" s="21"/>
      <c r="U210" s="21"/>
      <c r="V210" s="21"/>
      <c r="W210" s="21"/>
      <c r="X210" s="21"/>
      <c r="Y210" s="21"/>
    </row>
    <row r="211" spans="1:25" x14ac:dyDescent="0.25">
      <c r="A211" s="16">
        <v>191</v>
      </c>
      <c r="B211" s="16" t="s">
        <v>66</v>
      </c>
      <c r="C211" s="17">
        <v>0.15</v>
      </c>
      <c r="D211" s="17">
        <v>7.4999999999999997E-2</v>
      </c>
      <c r="E211" s="18">
        <f t="shared" ref="E211:E220" si="19">C211-D211</f>
        <v>7.4999999999999997E-2</v>
      </c>
      <c r="F211" s="19">
        <v>10</v>
      </c>
      <c r="G211" s="20">
        <v>61.5</v>
      </c>
      <c r="H211" s="20">
        <v>28.7</v>
      </c>
      <c r="I211" s="20">
        <v>60.4</v>
      </c>
      <c r="J211" s="20">
        <v>60</v>
      </c>
      <c r="K211" s="20">
        <v>56.7</v>
      </c>
      <c r="L211" s="20">
        <v>60.2</v>
      </c>
      <c r="M211" s="20">
        <v>59.8</v>
      </c>
      <c r="N211" s="20">
        <v>59.75</v>
      </c>
      <c r="O211" s="20">
        <v>60.2</v>
      </c>
      <c r="P211" s="20">
        <v>60</v>
      </c>
      <c r="Q211" s="20">
        <v>58.650000000000006</v>
      </c>
      <c r="R211" s="21"/>
      <c r="S211" s="21"/>
      <c r="T211" s="21"/>
      <c r="U211" s="21"/>
      <c r="V211" s="21"/>
      <c r="W211" s="21"/>
      <c r="X211" s="21"/>
      <c r="Y211" s="21"/>
    </row>
    <row r="212" spans="1:25" x14ac:dyDescent="0.25">
      <c r="A212" s="16">
        <v>192</v>
      </c>
      <c r="B212" s="16"/>
      <c r="C212" s="17">
        <v>0.15</v>
      </c>
      <c r="D212" s="17">
        <v>7.4999999999999997E-2</v>
      </c>
      <c r="E212" s="18">
        <f t="shared" si="19"/>
        <v>7.4999999999999997E-2</v>
      </c>
      <c r="F212" s="19">
        <v>10</v>
      </c>
      <c r="G212" s="20">
        <v>61.8</v>
      </c>
      <c r="H212" s="20">
        <v>28.85</v>
      </c>
      <c r="I212" s="20">
        <v>60.5</v>
      </c>
      <c r="J212" s="20">
        <v>60.1</v>
      </c>
      <c r="K212" s="20">
        <v>56.900000000000006</v>
      </c>
      <c r="L212" s="20">
        <v>60.3</v>
      </c>
      <c r="M212" s="20">
        <v>59.9</v>
      </c>
      <c r="N212" s="20">
        <v>59.849999999999994</v>
      </c>
      <c r="O212" s="20">
        <v>60.3</v>
      </c>
      <c r="P212" s="20">
        <v>60.1</v>
      </c>
      <c r="Q212" s="20">
        <v>58.8</v>
      </c>
      <c r="R212" s="21"/>
      <c r="S212" s="21"/>
      <c r="T212" s="21"/>
      <c r="U212" s="21"/>
      <c r="V212" s="21"/>
      <c r="W212" s="21"/>
      <c r="X212" s="21"/>
      <c r="Y212" s="21"/>
    </row>
    <row r="213" spans="1:25" x14ac:dyDescent="0.25">
      <c r="A213" s="16">
        <v>193</v>
      </c>
      <c r="B213" s="16"/>
      <c r="C213" s="17">
        <v>0.15</v>
      </c>
      <c r="D213" s="17">
        <v>7.4999999999999997E-2</v>
      </c>
      <c r="E213" s="18">
        <f t="shared" si="19"/>
        <v>7.4999999999999997E-2</v>
      </c>
      <c r="F213" s="19">
        <v>10</v>
      </c>
      <c r="G213" s="20">
        <v>61.5</v>
      </c>
      <c r="H213" s="20">
        <v>28.75</v>
      </c>
      <c r="I213" s="20">
        <v>60.5</v>
      </c>
      <c r="J213" s="20">
        <v>60.1</v>
      </c>
      <c r="K213" s="20">
        <v>56.7</v>
      </c>
      <c r="L213" s="20">
        <v>60.2</v>
      </c>
      <c r="M213" s="20">
        <v>59.7</v>
      </c>
      <c r="N213" s="20">
        <v>59.849999999999994</v>
      </c>
      <c r="O213" s="20">
        <v>60.1</v>
      </c>
      <c r="P213" s="20">
        <v>60.1</v>
      </c>
      <c r="Q213" s="20">
        <v>58.75</v>
      </c>
      <c r="R213" s="21"/>
      <c r="S213" s="21"/>
      <c r="T213" s="21"/>
      <c r="U213" s="21"/>
      <c r="V213" s="21"/>
      <c r="W213" s="21"/>
      <c r="X213" s="21"/>
      <c r="Y213" s="21"/>
    </row>
    <row r="214" spans="1:25" x14ac:dyDescent="0.25">
      <c r="A214" s="16">
        <v>194</v>
      </c>
      <c r="B214" s="16"/>
      <c r="C214" s="17">
        <v>0.15</v>
      </c>
      <c r="D214" s="17">
        <v>7.4999999999999997E-2</v>
      </c>
      <c r="E214" s="18">
        <f t="shared" si="19"/>
        <v>7.4999999999999997E-2</v>
      </c>
      <c r="F214" s="19">
        <v>10</v>
      </c>
      <c r="G214" s="20">
        <v>61.6</v>
      </c>
      <c r="H214" s="20">
        <v>28.85</v>
      </c>
      <c r="I214" s="20">
        <v>60.4</v>
      </c>
      <c r="J214" s="20">
        <v>60.2</v>
      </c>
      <c r="K214" s="20">
        <v>56.8</v>
      </c>
      <c r="L214" s="20">
        <v>60.2</v>
      </c>
      <c r="M214" s="20">
        <v>59.8</v>
      </c>
      <c r="N214" s="20">
        <v>59.95</v>
      </c>
      <c r="O214" s="20">
        <v>60.2</v>
      </c>
      <c r="P214" s="20">
        <v>60.2</v>
      </c>
      <c r="Q214" s="20">
        <v>58.849999999999994</v>
      </c>
      <c r="R214" s="21"/>
      <c r="S214" s="21"/>
      <c r="T214" s="21"/>
      <c r="U214" s="21"/>
      <c r="V214" s="21"/>
      <c r="W214" s="21"/>
      <c r="X214" s="21"/>
      <c r="Y214" s="21"/>
    </row>
    <row r="215" spans="1:25" x14ac:dyDescent="0.25">
      <c r="A215" s="16">
        <v>195</v>
      </c>
      <c r="B215" s="16"/>
      <c r="C215" s="17">
        <v>0.15</v>
      </c>
      <c r="D215" s="17">
        <v>7.4999999999999997E-2</v>
      </c>
      <c r="E215" s="18">
        <f t="shared" si="19"/>
        <v>7.4999999999999997E-2</v>
      </c>
      <c r="F215" s="19">
        <v>10</v>
      </c>
      <c r="G215" s="20">
        <v>61.7</v>
      </c>
      <c r="H215" s="20">
        <v>28.85</v>
      </c>
      <c r="I215" s="20">
        <v>60.4</v>
      </c>
      <c r="J215" s="20">
        <v>60.2</v>
      </c>
      <c r="K215" s="20">
        <v>56.8</v>
      </c>
      <c r="L215" s="20">
        <v>60.2</v>
      </c>
      <c r="M215" s="20">
        <v>59.8</v>
      </c>
      <c r="N215" s="20">
        <v>59.95</v>
      </c>
      <c r="O215" s="20">
        <v>60.2</v>
      </c>
      <c r="P215" s="20">
        <v>60.2</v>
      </c>
      <c r="Q215" s="20">
        <v>58.849999999999994</v>
      </c>
      <c r="R215" s="21"/>
      <c r="S215" s="21"/>
      <c r="T215" s="21"/>
      <c r="U215" s="21"/>
      <c r="V215" s="21"/>
      <c r="W215" s="21"/>
      <c r="X215" s="21"/>
      <c r="Y215" s="21"/>
    </row>
    <row r="216" spans="1:25" x14ac:dyDescent="0.25">
      <c r="A216" s="16">
        <v>196</v>
      </c>
      <c r="B216" s="16"/>
      <c r="C216" s="17">
        <v>0.15</v>
      </c>
      <c r="D216" s="17">
        <v>7.4999999999999997E-2</v>
      </c>
      <c r="E216" s="18">
        <f t="shared" si="19"/>
        <v>7.4999999999999997E-2</v>
      </c>
      <c r="F216" s="19">
        <v>10</v>
      </c>
      <c r="G216" s="20">
        <v>61.5</v>
      </c>
      <c r="H216" s="20">
        <v>29.05</v>
      </c>
      <c r="I216" s="20">
        <v>60.5</v>
      </c>
      <c r="J216" s="20">
        <v>60.1</v>
      </c>
      <c r="K216" s="20">
        <v>56.900000000000006</v>
      </c>
      <c r="L216" s="20">
        <v>60.3</v>
      </c>
      <c r="M216" s="20">
        <v>59.7</v>
      </c>
      <c r="N216" s="20">
        <v>59.9</v>
      </c>
      <c r="O216" s="20">
        <v>60.3</v>
      </c>
      <c r="P216" s="20">
        <v>60.3</v>
      </c>
      <c r="Q216" s="20">
        <v>58.9</v>
      </c>
      <c r="R216" s="21"/>
      <c r="S216" s="21"/>
      <c r="T216" s="21"/>
      <c r="U216" s="21"/>
      <c r="V216" s="21"/>
      <c r="W216" s="21"/>
      <c r="X216" s="21"/>
      <c r="Y216" s="21"/>
    </row>
    <row r="217" spans="1:25" x14ac:dyDescent="0.25">
      <c r="A217" s="16">
        <v>197</v>
      </c>
      <c r="B217" s="16"/>
      <c r="C217" s="17">
        <v>0.15</v>
      </c>
      <c r="D217" s="17">
        <v>7.4999999999999997E-2</v>
      </c>
      <c r="E217" s="18">
        <f t="shared" si="19"/>
        <v>7.4999999999999997E-2</v>
      </c>
      <c r="F217" s="19">
        <v>10</v>
      </c>
      <c r="G217" s="20">
        <v>61.45</v>
      </c>
      <c r="H217" s="20">
        <v>29.05</v>
      </c>
      <c r="I217" s="20">
        <v>60.3</v>
      </c>
      <c r="J217" s="20">
        <v>59.9</v>
      </c>
      <c r="K217" s="20">
        <v>56.7</v>
      </c>
      <c r="L217" s="20">
        <v>60.1</v>
      </c>
      <c r="M217" s="20">
        <v>59.7</v>
      </c>
      <c r="N217" s="20">
        <v>59.650000000000006</v>
      </c>
      <c r="O217" s="20">
        <v>60.1</v>
      </c>
      <c r="P217" s="20">
        <v>60</v>
      </c>
      <c r="Q217" s="20">
        <v>58.65</v>
      </c>
      <c r="R217" s="21"/>
      <c r="S217" s="21"/>
      <c r="T217" s="21"/>
      <c r="U217" s="21"/>
      <c r="V217" s="21"/>
      <c r="W217" s="21"/>
      <c r="X217" s="21"/>
      <c r="Y217" s="21"/>
    </row>
    <row r="218" spans="1:25" x14ac:dyDescent="0.25">
      <c r="A218" s="16">
        <v>198</v>
      </c>
      <c r="B218" s="16"/>
      <c r="C218" s="17">
        <v>0.15</v>
      </c>
      <c r="D218" s="17">
        <v>7.4999999999999997E-2</v>
      </c>
      <c r="E218" s="18">
        <f t="shared" si="19"/>
        <v>7.4999999999999997E-2</v>
      </c>
      <c r="F218" s="19">
        <v>10</v>
      </c>
      <c r="G218" s="20">
        <v>61.6</v>
      </c>
      <c r="H218" s="20">
        <v>29.05</v>
      </c>
      <c r="I218" s="20">
        <v>60.3</v>
      </c>
      <c r="J218" s="20">
        <v>59.9</v>
      </c>
      <c r="K218" s="20">
        <v>56.6</v>
      </c>
      <c r="L218" s="20">
        <v>60.1</v>
      </c>
      <c r="M218" s="20">
        <v>59.7</v>
      </c>
      <c r="N218" s="20">
        <v>59.650000000000006</v>
      </c>
      <c r="O218" s="20">
        <v>60.1</v>
      </c>
      <c r="P218" s="20">
        <v>59.9</v>
      </c>
      <c r="Q218" s="20">
        <v>58.55</v>
      </c>
      <c r="R218" s="21"/>
      <c r="S218" s="21"/>
      <c r="T218" s="21"/>
      <c r="U218" s="21"/>
      <c r="V218" s="21"/>
      <c r="W218" s="21"/>
      <c r="X218" s="21"/>
      <c r="Y218" s="21"/>
    </row>
    <row r="219" spans="1:25" x14ac:dyDescent="0.25">
      <c r="A219" s="16">
        <v>199</v>
      </c>
      <c r="B219" s="16"/>
      <c r="C219" s="17">
        <v>0.15</v>
      </c>
      <c r="D219" s="17">
        <v>7.4999999999999997E-2</v>
      </c>
      <c r="E219" s="18">
        <f t="shared" si="19"/>
        <v>7.4999999999999997E-2</v>
      </c>
      <c r="F219" s="19">
        <v>10</v>
      </c>
      <c r="G219" s="20">
        <v>61.55</v>
      </c>
      <c r="H219" s="20">
        <v>28.950000000000003</v>
      </c>
      <c r="I219" s="20">
        <v>60.3</v>
      </c>
      <c r="J219" s="20">
        <v>59.9</v>
      </c>
      <c r="K219" s="20">
        <v>56.45</v>
      </c>
      <c r="L219" s="20">
        <v>60.1</v>
      </c>
      <c r="M219" s="20">
        <v>59.7</v>
      </c>
      <c r="N219" s="20">
        <v>59.650000000000006</v>
      </c>
      <c r="O219" s="20">
        <v>60.1</v>
      </c>
      <c r="P219" s="20">
        <v>59.9</v>
      </c>
      <c r="Q219" s="20">
        <v>58.45</v>
      </c>
      <c r="R219" s="21"/>
      <c r="S219" s="21"/>
      <c r="T219" s="21"/>
      <c r="U219" s="21"/>
      <c r="V219" s="21"/>
      <c r="W219" s="21"/>
      <c r="X219" s="21"/>
      <c r="Y219" s="21"/>
    </row>
    <row r="220" spans="1:25" x14ac:dyDescent="0.25">
      <c r="A220" s="16">
        <v>200</v>
      </c>
      <c r="B220" s="16"/>
      <c r="C220" s="17">
        <v>0.15</v>
      </c>
      <c r="D220" s="17">
        <v>7.4999999999999997E-2</v>
      </c>
      <c r="E220" s="18">
        <f t="shared" si="19"/>
        <v>7.4999999999999997E-2</v>
      </c>
      <c r="F220" s="19">
        <v>10</v>
      </c>
      <c r="G220" s="20">
        <v>61.6</v>
      </c>
      <c r="H220" s="20">
        <v>28.95</v>
      </c>
      <c r="I220" s="20">
        <v>60.4</v>
      </c>
      <c r="J220" s="20">
        <v>60.2</v>
      </c>
      <c r="K220" s="20">
        <v>56.65</v>
      </c>
      <c r="L220" s="20">
        <v>60.2</v>
      </c>
      <c r="M220" s="20">
        <v>59.8</v>
      </c>
      <c r="N220" s="20">
        <v>59.75</v>
      </c>
      <c r="O220" s="20">
        <v>60.2</v>
      </c>
      <c r="P220" s="20">
        <v>60.2</v>
      </c>
      <c r="Q220" s="20">
        <v>58.75</v>
      </c>
      <c r="R220" s="21"/>
      <c r="S220" s="21"/>
      <c r="T220" s="21"/>
      <c r="U220" s="21"/>
      <c r="V220" s="21"/>
      <c r="W220" s="21"/>
      <c r="X220" s="21"/>
      <c r="Y220" s="21"/>
    </row>
    <row r="221" spans="1:25" x14ac:dyDescent="0.25">
      <c r="A221" s="16"/>
      <c r="B221" s="16"/>
      <c r="C221" s="22"/>
      <c r="D221" s="22"/>
      <c r="E221" s="22"/>
      <c r="F221" s="19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21"/>
      <c r="S221" s="21"/>
      <c r="T221" s="21"/>
      <c r="U221" s="21"/>
      <c r="V221" s="21"/>
      <c r="W221" s="21"/>
      <c r="X221" s="21"/>
      <c r="Y221" s="21"/>
    </row>
    <row r="222" spans="1:25" x14ac:dyDescent="0.25">
      <c r="A222" s="16">
        <v>201</v>
      </c>
      <c r="B222" s="16" t="s">
        <v>67</v>
      </c>
      <c r="C222" s="17">
        <v>0.125</v>
      </c>
      <c r="D222" s="17">
        <v>0.10500000000000001</v>
      </c>
      <c r="E222" s="18">
        <f t="shared" ref="E222:E231" si="20">C222-D222</f>
        <v>1.999999999999999E-2</v>
      </c>
      <c r="F222" s="19">
        <v>5</v>
      </c>
      <c r="G222" s="20">
        <v>61.650000000000006</v>
      </c>
      <c r="H222" s="20">
        <v>29.1</v>
      </c>
      <c r="I222" s="20">
        <v>60.3</v>
      </c>
      <c r="J222" s="20">
        <v>59.9</v>
      </c>
      <c r="K222" s="20">
        <v>56.7</v>
      </c>
      <c r="L222" s="20">
        <v>60.1</v>
      </c>
      <c r="M222" s="20">
        <v>59.8</v>
      </c>
      <c r="N222" s="20">
        <v>59.75</v>
      </c>
      <c r="O222" s="20">
        <v>60.1</v>
      </c>
      <c r="P222" s="20">
        <v>60.1</v>
      </c>
      <c r="Q222" s="20">
        <v>58.85</v>
      </c>
      <c r="R222" s="21"/>
      <c r="S222" s="21"/>
      <c r="T222" s="21"/>
      <c r="U222" s="21"/>
      <c r="V222" s="21"/>
      <c r="W222" s="21"/>
      <c r="X222" s="21"/>
      <c r="Y222" s="21"/>
    </row>
    <row r="223" spans="1:25" x14ac:dyDescent="0.25">
      <c r="A223" s="16">
        <v>202</v>
      </c>
      <c r="B223" s="16"/>
      <c r="C223" s="17">
        <v>0.125</v>
      </c>
      <c r="D223" s="17">
        <v>0.10500000000000001</v>
      </c>
      <c r="E223" s="18">
        <f t="shared" si="20"/>
        <v>1.999999999999999E-2</v>
      </c>
      <c r="F223" s="19">
        <v>5</v>
      </c>
      <c r="G223" s="20">
        <v>61.7</v>
      </c>
      <c r="H223" s="20">
        <v>29.1</v>
      </c>
      <c r="I223" s="20">
        <v>60.5</v>
      </c>
      <c r="J223" s="20">
        <v>60.1</v>
      </c>
      <c r="K223" s="20">
        <v>56.65</v>
      </c>
      <c r="L223" s="20">
        <v>60.1</v>
      </c>
      <c r="M223" s="20">
        <v>59.8</v>
      </c>
      <c r="N223" s="20">
        <v>59.849999999999994</v>
      </c>
      <c r="O223" s="20">
        <v>60.2</v>
      </c>
      <c r="P223" s="20">
        <v>60.1</v>
      </c>
      <c r="Q223" s="20">
        <v>58.85</v>
      </c>
      <c r="R223" s="21"/>
      <c r="S223" s="21"/>
      <c r="T223" s="21"/>
      <c r="U223" s="21"/>
      <c r="V223" s="21"/>
      <c r="W223" s="21"/>
      <c r="X223" s="21"/>
      <c r="Y223" s="21"/>
    </row>
    <row r="224" spans="1:25" x14ac:dyDescent="0.25">
      <c r="A224" s="16">
        <v>203</v>
      </c>
      <c r="B224" s="16"/>
      <c r="C224" s="17">
        <v>0.125</v>
      </c>
      <c r="D224" s="17">
        <v>0.10500000000000001</v>
      </c>
      <c r="E224" s="18">
        <f t="shared" si="20"/>
        <v>1.999999999999999E-2</v>
      </c>
      <c r="F224" s="19">
        <v>5</v>
      </c>
      <c r="G224" s="20">
        <v>61.75</v>
      </c>
      <c r="H224" s="20">
        <v>29.55</v>
      </c>
      <c r="I224" s="20">
        <v>60.6</v>
      </c>
      <c r="J224" s="20">
        <v>60</v>
      </c>
      <c r="K224" s="20">
        <v>56.900000000000006</v>
      </c>
      <c r="L224" s="20">
        <v>60.4</v>
      </c>
      <c r="M224" s="20">
        <v>59.8</v>
      </c>
      <c r="N224" s="20">
        <v>59.95</v>
      </c>
      <c r="O224" s="20">
        <v>60.3</v>
      </c>
      <c r="P224" s="20">
        <v>60.2</v>
      </c>
      <c r="Q224" s="20">
        <v>59.05</v>
      </c>
      <c r="R224" s="21"/>
      <c r="S224" s="21"/>
      <c r="T224" s="21"/>
      <c r="U224" s="21"/>
      <c r="V224" s="21"/>
      <c r="W224" s="21"/>
      <c r="X224" s="21"/>
      <c r="Y224" s="21"/>
    </row>
    <row r="225" spans="1:25" x14ac:dyDescent="0.25">
      <c r="A225" s="16">
        <v>204</v>
      </c>
      <c r="B225" s="16"/>
      <c r="C225" s="17">
        <v>0.125</v>
      </c>
      <c r="D225" s="17">
        <v>0.10500000000000001</v>
      </c>
      <c r="E225" s="18">
        <f t="shared" si="20"/>
        <v>1.999999999999999E-2</v>
      </c>
      <c r="F225" s="19">
        <v>5</v>
      </c>
      <c r="G225" s="20">
        <v>61.65</v>
      </c>
      <c r="H225" s="20">
        <v>29.4</v>
      </c>
      <c r="I225" s="20">
        <v>60.4</v>
      </c>
      <c r="J225" s="20">
        <v>60</v>
      </c>
      <c r="K225" s="20">
        <v>56.75</v>
      </c>
      <c r="L225" s="20">
        <v>60.2</v>
      </c>
      <c r="M225" s="20">
        <v>59.7</v>
      </c>
      <c r="N225" s="20">
        <v>59.75</v>
      </c>
      <c r="O225" s="20">
        <v>60.2</v>
      </c>
      <c r="P225" s="25">
        <v>60</v>
      </c>
      <c r="Q225" s="20">
        <v>58.75</v>
      </c>
      <c r="R225" s="21"/>
      <c r="S225" s="21"/>
      <c r="T225" s="21"/>
      <c r="U225" s="21"/>
      <c r="V225" s="21"/>
      <c r="W225" s="21"/>
      <c r="X225" s="21"/>
      <c r="Y225" s="21"/>
    </row>
    <row r="226" spans="1:25" x14ac:dyDescent="0.25">
      <c r="A226" s="16">
        <v>205</v>
      </c>
      <c r="B226" s="16"/>
      <c r="C226" s="17">
        <v>0.125</v>
      </c>
      <c r="D226" s="17">
        <v>0.10500000000000001</v>
      </c>
      <c r="E226" s="18">
        <f t="shared" si="20"/>
        <v>1.999999999999999E-2</v>
      </c>
      <c r="F226" s="19">
        <v>5</v>
      </c>
      <c r="G226" s="20">
        <v>61.75</v>
      </c>
      <c r="H226" s="20">
        <v>29.55</v>
      </c>
      <c r="I226" s="20">
        <v>60.4</v>
      </c>
      <c r="J226" s="20">
        <v>60</v>
      </c>
      <c r="K226" s="20">
        <v>56.95</v>
      </c>
      <c r="L226" s="20">
        <v>60.2</v>
      </c>
      <c r="M226" s="20">
        <v>59.7</v>
      </c>
      <c r="N226" s="20">
        <v>59.75</v>
      </c>
      <c r="O226" s="20">
        <v>60.2</v>
      </c>
      <c r="P226" s="25">
        <v>60</v>
      </c>
      <c r="Q226" s="20">
        <v>58.75</v>
      </c>
      <c r="R226" s="21"/>
      <c r="S226" s="21"/>
      <c r="T226" s="21"/>
      <c r="U226" s="21"/>
      <c r="V226" s="21"/>
      <c r="W226" s="21"/>
      <c r="X226" s="21"/>
      <c r="Y226" s="21"/>
    </row>
    <row r="227" spans="1:25" x14ac:dyDescent="0.25">
      <c r="A227" s="16">
        <v>206</v>
      </c>
      <c r="B227" s="16"/>
      <c r="C227" s="17">
        <v>0.125</v>
      </c>
      <c r="D227" s="17">
        <v>0.10500000000000001</v>
      </c>
      <c r="E227" s="18">
        <f t="shared" si="20"/>
        <v>1.999999999999999E-2</v>
      </c>
      <c r="F227" s="19">
        <v>5</v>
      </c>
      <c r="G227" s="20">
        <v>61.75</v>
      </c>
      <c r="H227" s="20">
        <v>29.65</v>
      </c>
      <c r="I227" s="20">
        <v>60.5</v>
      </c>
      <c r="J227" s="20">
        <v>60.1</v>
      </c>
      <c r="K227" s="20">
        <v>56.900000000000006</v>
      </c>
      <c r="L227" s="20">
        <v>60.3</v>
      </c>
      <c r="M227" s="20">
        <v>59.9</v>
      </c>
      <c r="N227" s="20">
        <v>59.95</v>
      </c>
      <c r="O227" s="20">
        <v>60.3</v>
      </c>
      <c r="P227" s="20">
        <v>60.3</v>
      </c>
      <c r="Q227" s="20">
        <v>58.95</v>
      </c>
      <c r="R227" s="21"/>
      <c r="S227" s="21"/>
      <c r="T227" s="21"/>
      <c r="U227" s="21"/>
      <c r="V227" s="21"/>
      <c r="W227" s="21"/>
      <c r="X227" s="21"/>
      <c r="Y227" s="21"/>
    </row>
    <row r="228" spans="1:25" x14ac:dyDescent="0.25">
      <c r="A228" s="16">
        <v>207</v>
      </c>
      <c r="B228" s="16"/>
      <c r="C228" s="17">
        <v>0.125</v>
      </c>
      <c r="D228" s="17">
        <v>0.10500000000000001</v>
      </c>
      <c r="E228" s="18">
        <f t="shared" si="20"/>
        <v>1.999999999999999E-2</v>
      </c>
      <c r="F228" s="19">
        <v>5</v>
      </c>
      <c r="G228" s="20">
        <v>61.6</v>
      </c>
      <c r="H228" s="20">
        <v>29.6</v>
      </c>
      <c r="I228" s="20">
        <v>60.3</v>
      </c>
      <c r="J228" s="20">
        <v>59.9</v>
      </c>
      <c r="K228" s="20">
        <v>56.7</v>
      </c>
      <c r="L228" s="20">
        <v>60.1</v>
      </c>
      <c r="M228" s="20">
        <v>59.8</v>
      </c>
      <c r="N228" s="20">
        <v>59.75</v>
      </c>
      <c r="O228" s="20">
        <v>60.1</v>
      </c>
      <c r="P228" s="20">
        <v>60.1</v>
      </c>
      <c r="Q228" s="20">
        <v>58.849999999999994</v>
      </c>
      <c r="R228" s="21"/>
      <c r="S228" s="21"/>
      <c r="T228" s="21"/>
      <c r="U228" s="21"/>
      <c r="V228" s="21"/>
      <c r="W228" s="21"/>
      <c r="X228" s="21"/>
      <c r="Y228" s="21"/>
    </row>
    <row r="229" spans="1:25" x14ac:dyDescent="0.25">
      <c r="A229" s="16">
        <v>208</v>
      </c>
      <c r="B229" s="16"/>
      <c r="C229" s="17">
        <v>0.125</v>
      </c>
      <c r="D229" s="17">
        <v>0.10500000000000001</v>
      </c>
      <c r="E229" s="18">
        <f t="shared" si="20"/>
        <v>1.999999999999999E-2</v>
      </c>
      <c r="F229" s="19">
        <v>5</v>
      </c>
      <c r="G229" s="20">
        <v>61.4</v>
      </c>
      <c r="H229" s="20">
        <v>29.2</v>
      </c>
      <c r="I229" s="20">
        <v>60.3</v>
      </c>
      <c r="J229" s="20">
        <v>59.9</v>
      </c>
      <c r="K229" s="20">
        <v>56.6</v>
      </c>
      <c r="L229" s="20">
        <v>59.9</v>
      </c>
      <c r="M229" s="20">
        <v>59.6</v>
      </c>
      <c r="N229" s="20">
        <v>59.650000000000006</v>
      </c>
      <c r="O229" s="20">
        <v>60.1</v>
      </c>
      <c r="P229" s="20">
        <v>59.9</v>
      </c>
      <c r="Q229" s="20">
        <v>58.75</v>
      </c>
      <c r="R229" s="21"/>
      <c r="S229" s="21"/>
      <c r="T229" s="21"/>
      <c r="U229" s="21"/>
      <c r="V229" s="21"/>
      <c r="W229" s="21"/>
      <c r="X229" s="21"/>
      <c r="Y229" s="21"/>
    </row>
    <row r="230" spans="1:25" x14ac:dyDescent="0.25">
      <c r="A230" s="16">
        <v>209</v>
      </c>
      <c r="B230" s="16"/>
      <c r="C230" s="17">
        <v>0.125</v>
      </c>
      <c r="D230" s="17">
        <v>0.10500000000000001</v>
      </c>
      <c r="E230" s="18">
        <f t="shared" si="20"/>
        <v>1.999999999999999E-2</v>
      </c>
      <c r="F230" s="19">
        <v>5</v>
      </c>
      <c r="G230" s="20">
        <v>61.5</v>
      </c>
      <c r="H230" s="20">
        <v>29.200000000000003</v>
      </c>
      <c r="I230" s="20">
        <v>60.2</v>
      </c>
      <c r="J230" s="20">
        <v>59.8</v>
      </c>
      <c r="K230" s="20">
        <v>56.5</v>
      </c>
      <c r="L230" s="20">
        <v>60</v>
      </c>
      <c r="M230" s="20">
        <v>59.7</v>
      </c>
      <c r="N230" s="20">
        <v>59.65</v>
      </c>
      <c r="O230" s="20">
        <v>60</v>
      </c>
      <c r="P230" s="20">
        <v>60</v>
      </c>
      <c r="Q230" s="20">
        <v>58.65</v>
      </c>
      <c r="R230" s="21"/>
      <c r="S230" s="21"/>
      <c r="T230" s="21"/>
      <c r="U230" s="21"/>
      <c r="V230" s="21"/>
      <c r="W230" s="21"/>
      <c r="X230" s="21"/>
      <c r="Y230" s="21"/>
    </row>
    <row r="231" spans="1:25" x14ac:dyDescent="0.25">
      <c r="A231" s="16">
        <v>210</v>
      </c>
      <c r="B231" s="16"/>
      <c r="C231" s="17">
        <v>0.125</v>
      </c>
      <c r="D231" s="17">
        <v>0.10500000000000001</v>
      </c>
      <c r="E231" s="18">
        <f t="shared" si="20"/>
        <v>1.999999999999999E-2</v>
      </c>
      <c r="F231" s="19">
        <v>5</v>
      </c>
      <c r="G231" s="20">
        <v>61.4</v>
      </c>
      <c r="H231" s="20">
        <v>29.4</v>
      </c>
      <c r="I231" s="20">
        <v>60.2</v>
      </c>
      <c r="J231" s="20">
        <v>59.8</v>
      </c>
      <c r="K231" s="20">
        <v>56.6</v>
      </c>
      <c r="L231" s="20">
        <v>59.8</v>
      </c>
      <c r="M231" s="20">
        <v>59.7</v>
      </c>
      <c r="N231" s="20">
        <v>59.65</v>
      </c>
      <c r="O231" s="20">
        <v>60</v>
      </c>
      <c r="P231" s="20">
        <v>59.8</v>
      </c>
      <c r="Q231" s="20">
        <v>58.55</v>
      </c>
      <c r="R231" s="21"/>
      <c r="S231" s="21"/>
      <c r="T231" s="21"/>
      <c r="U231" s="21"/>
      <c r="V231" s="21"/>
      <c r="W231" s="21"/>
      <c r="X231" s="21"/>
      <c r="Y231" s="21"/>
    </row>
    <row r="232" spans="1:25" x14ac:dyDescent="0.25">
      <c r="A232" s="16"/>
      <c r="B232" s="16"/>
      <c r="C232" s="22"/>
      <c r="D232" s="22"/>
      <c r="E232" s="22"/>
      <c r="F232" s="19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21"/>
      <c r="S232" s="21"/>
      <c r="T232" s="21"/>
      <c r="U232" s="21"/>
      <c r="V232" s="21"/>
      <c r="W232" s="21"/>
      <c r="X232" s="21"/>
      <c r="Y232" s="21"/>
    </row>
    <row r="233" spans="1:25" x14ac:dyDescent="0.25">
      <c r="A233" s="16">
        <v>211</v>
      </c>
      <c r="B233" s="16" t="s">
        <v>68</v>
      </c>
      <c r="C233" s="17">
        <v>0.45</v>
      </c>
      <c r="D233" s="17">
        <v>0.1</v>
      </c>
      <c r="E233" s="18">
        <f t="shared" ref="E233:E242" si="21">C233-D233</f>
        <v>0.35</v>
      </c>
      <c r="F233" s="19">
        <v>25</v>
      </c>
      <c r="G233" s="20">
        <v>61.7</v>
      </c>
      <c r="H233" s="20">
        <v>30</v>
      </c>
      <c r="I233" s="20">
        <v>60.8</v>
      </c>
      <c r="J233" s="20">
        <v>60.2</v>
      </c>
      <c r="K233" s="20">
        <v>57.05</v>
      </c>
      <c r="L233" s="20">
        <v>60.6</v>
      </c>
      <c r="M233" s="20">
        <v>60.1</v>
      </c>
      <c r="N233" s="20">
        <v>60.150000000000006</v>
      </c>
      <c r="O233" s="20"/>
      <c r="P233" s="20"/>
      <c r="Q233" s="20"/>
      <c r="R233" s="21"/>
      <c r="S233" s="21"/>
      <c r="T233" s="21"/>
      <c r="U233" s="21"/>
      <c r="V233" s="21"/>
      <c r="W233" s="21"/>
      <c r="X233" s="21"/>
      <c r="Y233" s="21"/>
    </row>
    <row r="234" spans="1:25" x14ac:dyDescent="0.25">
      <c r="A234" s="16">
        <v>212</v>
      </c>
      <c r="B234" s="16"/>
      <c r="C234" s="17">
        <v>0.45</v>
      </c>
      <c r="D234" s="17">
        <v>0.1</v>
      </c>
      <c r="E234" s="18">
        <f t="shared" si="21"/>
        <v>0.35</v>
      </c>
      <c r="F234" s="19">
        <v>25</v>
      </c>
      <c r="G234" s="20">
        <v>61.8</v>
      </c>
      <c r="H234" s="20">
        <v>30</v>
      </c>
      <c r="I234" s="20">
        <v>60.8</v>
      </c>
      <c r="J234" s="20">
        <v>60.2</v>
      </c>
      <c r="K234" s="20">
        <v>57.05</v>
      </c>
      <c r="L234" s="20">
        <v>60.6</v>
      </c>
      <c r="M234" s="20">
        <v>60.1</v>
      </c>
      <c r="N234" s="20">
        <v>60.150000000000006</v>
      </c>
      <c r="O234" s="20"/>
      <c r="P234" s="20"/>
      <c r="Q234" s="20"/>
      <c r="R234" s="21"/>
      <c r="S234" s="21"/>
      <c r="T234" s="21"/>
      <c r="U234" s="21"/>
      <c r="V234" s="21"/>
      <c r="W234" s="21"/>
      <c r="X234" s="21"/>
      <c r="Y234" s="21"/>
    </row>
    <row r="235" spans="1:25" x14ac:dyDescent="0.25">
      <c r="A235" s="16">
        <v>213</v>
      </c>
      <c r="B235" s="16"/>
      <c r="C235" s="17">
        <v>0.45</v>
      </c>
      <c r="D235" s="17">
        <v>0.1</v>
      </c>
      <c r="E235" s="18">
        <f t="shared" si="21"/>
        <v>0.35</v>
      </c>
      <c r="F235" s="19">
        <v>25</v>
      </c>
      <c r="G235" s="20">
        <v>61.75</v>
      </c>
      <c r="H235" s="20">
        <v>30</v>
      </c>
      <c r="I235" s="20">
        <v>60.8</v>
      </c>
      <c r="J235" s="20">
        <v>60.2</v>
      </c>
      <c r="K235" s="20">
        <v>57.05</v>
      </c>
      <c r="L235" s="20">
        <v>60.6</v>
      </c>
      <c r="M235" s="20">
        <v>60.1</v>
      </c>
      <c r="N235" s="20">
        <v>60.150000000000006</v>
      </c>
      <c r="O235" s="20"/>
      <c r="P235" s="20"/>
      <c r="Q235" s="20"/>
      <c r="R235" s="21"/>
      <c r="S235" s="21"/>
      <c r="T235" s="21"/>
      <c r="U235" s="21"/>
      <c r="V235" s="21"/>
      <c r="W235" s="21"/>
      <c r="X235" s="21"/>
      <c r="Y235" s="21"/>
    </row>
    <row r="236" spans="1:25" x14ac:dyDescent="0.25">
      <c r="A236" s="16">
        <v>214</v>
      </c>
      <c r="B236" s="16"/>
      <c r="C236" s="17">
        <v>0.45</v>
      </c>
      <c r="D236" s="17">
        <v>0.1</v>
      </c>
      <c r="E236" s="18">
        <f t="shared" si="21"/>
        <v>0.35</v>
      </c>
      <c r="F236" s="19">
        <v>25</v>
      </c>
      <c r="G236" s="20">
        <v>61.75</v>
      </c>
      <c r="H236" s="20">
        <v>30.1</v>
      </c>
      <c r="I236" s="20">
        <v>60.8</v>
      </c>
      <c r="J236" s="20">
        <v>60.2</v>
      </c>
      <c r="K236" s="20">
        <v>57.1</v>
      </c>
      <c r="L236" s="20">
        <v>60.6</v>
      </c>
      <c r="M236" s="20">
        <v>60.1</v>
      </c>
      <c r="N236" s="20">
        <v>60.150000000000006</v>
      </c>
      <c r="O236" s="20"/>
      <c r="P236" s="20"/>
      <c r="Q236" s="20"/>
      <c r="R236" s="21"/>
      <c r="S236" s="21"/>
      <c r="T236" s="21"/>
      <c r="U236" s="21"/>
      <c r="V236" s="21"/>
      <c r="W236" s="21"/>
      <c r="X236" s="21"/>
      <c r="Y236" s="21"/>
    </row>
    <row r="237" spans="1:25" x14ac:dyDescent="0.25">
      <c r="A237" s="16">
        <v>215</v>
      </c>
      <c r="B237" s="16"/>
      <c r="C237" s="17">
        <v>0.45</v>
      </c>
      <c r="D237" s="17">
        <v>0.1</v>
      </c>
      <c r="E237" s="18">
        <f t="shared" si="21"/>
        <v>0.35</v>
      </c>
      <c r="F237" s="19">
        <v>25</v>
      </c>
      <c r="G237" s="20">
        <v>61.8</v>
      </c>
      <c r="H237" s="20">
        <v>30.2</v>
      </c>
      <c r="I237" s="20">
        <v>60.8</v>
      </c>
      <c r="J237" s="20">
        <v>60.2</v>
      </c>
      <c r="K237" s="20">
        <v>57.2</v>
      </c>
      <c r="L237" s="20">
        <v>60.6</v>
      </c>
      <c r="M237" s="20">
        <v>60.1</v>
      </c>
      <c r="N237" s="20">
        <v>60.25</v>
      </c>
      <c r="O237" s="20"/>
      <c r="P237" s="20"/>
      <c r="Q237" s="20"/>
      <c r="R237" s="21"/>
      <c r="S237" s="21"/>
      <c r="T237" s="21"/>
      <c r="U237" s="21"/>
      <c r="V237" s="21"/>
      <c r="W237" s="21"/>
      <c r="X237" s="21"/>
      <c r="Y237" s="21"/>
    </row>
    <row r="238" spans="1:25" x14ac:dyDescent="0.25">
      <c r="A238" s="16">
        <v>216</v>
      </c>
      <c r="B238" s="16"/>
      <c r="C238" s="17">
        <v>0.45</v>
      </c>
      <c r="D238" s="17">
        <v>0.1</v>
      </c>
      <c r="E238" s="18">
        <f t="shared" si="21"/>
        <v>0.35</v>
      </c>
      <c r="F238" s="19">
        <v>25</v>
      </c>
      <c r="G238" s="20">
        <v>61.8</v>
      </c>
      <c r="H238" s="20">
        <v>30.2</v>
      </c>
      <c r="I238" s="20">
        <v>60.8</v>
      </c>
      <c r="J238" s="20">
        <v>60.4</v>
      </c>
      <c r="K238" s="20">
        <v>57.1</v>
      </c>
      <c r="L238" s="20">
        <v>60.6</v>
      </c>
      <c r="M238" s="20">
        <v>60.1</v>
      </c>
      <c r="N238" s="20">
        <v>60.25</v>
      </c>
      <c r="O238" s="20"/>
      <c r="P238" s="20"/>
      <c r="Q238" s="20"/>
      <c r="R238" s="21"/>
      <c r="S238" s="21"/>
      <c r="T238" s="21"/>
      <c r="U238" s="21"/>
      <c r="V238" s="21"/>
      <c r="W238" s="21"/>
      <c r="X238" s="21"/>
      <c r="Y238" s="21"/>
    </row>
    <row r="239" spans="1:25" x14ac:dyDescent="0.25">
      <c r="A239" s="16">
        <v>217</v>
      </c>
      <c r="B239" s="16"/>
      <c r="C239" s="17">
        <v>0.45</v>
      </c>
      <c r="D239" s="17">
        <v>0.1</v>
      </c>
      <c r="E239" s="18">
        <f t="shared" si="21"/>
        <v>0.35</v>
      </c>
      <c r="F239" s="19">
        <v>25</v>
      </c>
      <c r="G239" s="20">
        <v>61.8</v>
      </c>
      <c r="H239" s="20">
        <v>30.2</v>
      </c>
      <c r="I239" s="20">
        <v>60.8</v>
      </c>
      <c r="J239" s="20">
        <v>60.4</v>
      </c>
      <c r="K239" s="20">
        <v>57.1</v>
      </c>
      <c r="L239" s="20">
        <v>60.6</v>
      </c>
      <c r="M239" s="20">
        <v>60.1</v>
      </c>
      <c r="N239" s="20">
        <v>60.25</v>
      </c>
      <c r="O239" s="20"/>
      <c r="P239" s="20"/>
      <c r="Q239" s="20"/>
      <c r="R239" s="21"/>
      <c r="S239" s="21"/>
      <c r="T239" s="21"/>
      <c r="U239" s="21"/>
      <c r="V239" s="21"/>
      <c r="W239" s="21"/>
      <c r="X239" s="21"/>
      <c r="Y239" s="21"/>
    </row>
    <row r="240" spans="1:25" x14ac:dyDescent="0.25">
      <c r="A240" s="16">
        <v>218</v>
      </c>
      <c r="B240" s="16"/>
      <c r="C240" s="17">
        <v>0.45</v>
      </c>
      <c r="D240" s="17">
        <v>0.1</v>
      </c>
      <c r="E240" s="18">
        <f t="shared" si="21"/>
        <v>0.35</v>
      </c>
      <c r="F240" s="19">
        <v>25</v>
      </c>
      <c r="G240" s="20">
        <v>61.7</v>
      </c>
      <c r="H240" s="20">
        <v>30.2</v>
      </c>
      <c r="I240" s="20">
        <v>60.8</v>
      </c>
      <c r="J240" s="20">
        <v>60.4</v>
      </c>
      <c r="K240" s="20">
        <v>57.1</v>
      </c>
      <c r="L240" s="20">
        <v>60.6</v>
      </c>
      <c r="M240" s="20">
        <v>60.1</v>
      </c>
      <c r="N240" s="20">
        <v>60.25</v>
      </c>
      <c r="O240" s="20"/>
      <c r="P240" s="20"/>
      <c r="Q240" s="20"/>
      <c r="R240" s="21"/>
      <c r="S240" s="21"/>
      <c r="T240" s="21"/>
      <c r="U240" s="21"/>
      <c r="V240" s="21"/>
      <c r="W240" s="21"/>
      <c r="X240" s="21"/>
      <c r="Y240" s="21"/>
    </row>
    <row r="241" spans="1:25" x14ac:dyDescent="0.25">
      <c r="A241" s="16">
        <v>219</v>
      </c>
      <c r="B241" s="16"/>
      <c r="C241" s="17">
        <v>0.45</v>
      </c>
      <c r="D241" s="17">
        <v>0.1</v>
      </c>
      <c r="E241" s="18">
        <f t="shared" si="21"/>
        <v>0.35</v>
      </c>
      <c r="F241" s="19">
        <v>25</v>
      </c>
      <c r="G241" s="20">
        <v>61.6</v>
      </c>
      <c r="H241" s="20">
        <v>30.2</v>
      </c>
      <c r="I241" s="20">
        <v>60.8</v>
      </c>
      <c r="J241" s="20">
        <v>60.2</v>
      </c>
      <c r="K241" s="20">
        <v>57.1</v>
      </c>
      <c r="L241" s="20">
        <v>60.6</v>
      </c>
      <c r="M241" s="20">
        <v>60.1</v>
      </c>
      <c r="N241" s="20">
        <v>60.25</v>
      </c>
      <c r="O241" s="20"/>
      <c r="P241" s="20"/>
      <c r="Q241" s="20"/>
      <c r="R241" s="21"/>
      <c r="S241" s="21"/>
      <c r="T241" s="21"/>
      <c r="U241" s="21"/>
      <c r="V241" s="21"/>
      <c r="W241" s="21"/>
      <c r="X241" s="21"/>
      <c r="Y241" s="21"/>
    </row>
    <row r="242" spans="1:25" x14ac:dyDescent="0.25">
      <c r="A242" s="16">
        <v>220</v>
      </c>
      <c r="B242" s="16"/>
      <c r="C242" s="17">
        <v>0.45</v>
      </c>
      <c r="D242" s="17">
        <v>0.1</v>
      </c>
      <c r="E242" s="18">
        <f t="shared" si="21"/>
        <v>0.35</v>
      </c>
      <c r="F242" s="19">
        <v>25</v>
      </c>
      <c r="G242" s="20">
        <v>61.6</v>
      </c>
      <c r="H242" s="20">
        <v>30.2</v>
      </c>
      <c r="I242" s="20">
        <v>60.8</v>
      </c>
      <c r="J242" s="20">
        <v>60.2</v>
      </c>
      <c r="K242" s="20">
        <v>57.1</v>
      </c>
      <c r="L242" s="20">
        <v>60.6</v>
      </c>
      <c r="M242" s="20">
        <v>60.1</v>
      </c>
      <c r="N242" s="20">
        <v>60.25</v>
      </c>
      <c r="O242" s="20"/>
      <c r="P242" s="20"/>
      <c r="Q242" s="20"/>
      <c r="R242" s="21"/>
      <c r="S242" s="21"/>
      <c r="T242" s="21"/>
      <c r="U242" s="21"/>
      <c r="V242" s="21"/>
      <c r="W242" s="21"/>
      <c r="X242" s="21"/>
      <c r="Y242" s="21"/>
    </row>
    <row r="243" spans="1:25" x14ac:dyDescent="0.25">
      <c r="A243" s="16"/>
      <c r="B243" s="16"/>
      <c r="C243" s="22"/>
      <c r="D243" s="22"/>
      <c r="E243" s="22"/>
      <c r="F243" s="19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21"/>
      <c r="S243" s="21"/>
      <c r="T243" s="21"/>
      <c r="U243" s="21"/>
      <c r="V243" s="21"/>
      <c r="W243" s="21"/>
      <c r="X243" s="21"/>
      <c r="Y243" s="21"/>
    </row>
    <row r="244" spans="1:25" x14ac:dyDescent="0.25">
      <c r="A244" s="16">
        <v>221</v>
      </c>
      <c r="B244" s="16" t="s">
        <v>69</v>
      </c>
      <c r="C244" s="17">
        <v>0.35</v>
      </c>
      <c r="D244" s="17">
        <v>0.1</v>
      </c>
      <c r="E244" s="18">
        <f t="shared" ref="E244:E253" si="22">C244-D244</f>
        <v>0.24999999999999997</v>
      </c>
      <c r="F244" s="19">
        <v>20</v>
      </c>
      <c r="G244" s="20">
        <v>61.4</v>
      </c>
      <c r="H244" s="20">
        <v>29.65</v>
      </c>
      <c r="I244" s="20">
        <v>60.6</v>
      </c>
      <c r="J244" s="20">
        <v>60</v>
      </c>
      <c r="K244" s="20">
        <v>56.9</v>
      </c>
      <c r="L244" s="20">
        <v>60.6</v>
      </c>
      <c r="M244" s="20">
        <v>59.8</v>
      </c>
      <c r="N244" s="20">
        <v>59.95</v>
      </c>
      <c r="O244" s="20"/>
      <c r="P244" s="20"/>
      <c r="Q244" s="20"/>
      <c r="R244" s="21"/>
      <c r="S244" s="21"/>
      <c r="T244" s="21"/>
      <c r="U244" s="21"/>
      <c r="V244" s="21"/>
      <c r="W244" s="21"/>
      <c r="X244" s="21"/>
      <c r="Y244" s="21"/>
    </row>
    <row r="245" spans="1:25" x14ac:dyDescent="0.25">
      <c r="A245" s="16">
        <v>222</v>
      </c>
      <c r="B245" s="16"/>
      <c r="C245" s="17">
        <v>0.35</v>
      </c>
      <c r="D245" s="17">
        <v>0.1</v>
      </c>
      <c r="E245" s="18">
        <f t="shared" si="22"/>
        <v>0.24999999999999997</v>
      </c>
      <c r="F245" s="19">
        <v>20</v>
      </c>
      <c r="G245" s="20">
        <v>61.3</v>
      </c>
      <c r="H245" s="20">
        <v>29.549999999999997</v>
      </c>
      <c r="I245" s="20">
        <v>60.5</v>
      </c>
      <c r="J245" s="20">
        <v>59.9</v>
      </c>
      <c r="K245" s="20">
        <v>56.75</v>
      </c>
      <c r="L245" s="20">
        <v>60.5</v>
      </c>
      <c r="M245" s="20">
        <v>59.8</v>
      </c>
      <c r="N245" s="20">
        <v>59.85</v>
      </c>
      <c r="O245" s="20"/>
      <c r="P245" s="20"/>
      <c r="Q245" s="20"/>
      <c r="R245" s="21"/>
      <c r="S245" s="21"/>
      <c r="T245" s="21"/>
      <c r="U245" s="21"/>
      <c r="V245" s="21"/>
      <c r="W245" s="21"/>
      <c r="X245" s="21"/>
      <c r="Y245" s="21"/>
    </row>
    <row r="246" spans="1:25" x14ac:dyDescent="0.25">
      <c r="A246" s="16">
        <v>223</v>
      </c>
      <c r="B246" s="16"/>
      <c r="C246" s="17">
        <v>0.35</v>
      </c>
      <c r="D246" s="17">
        <v>0.1</v>
      </c>
      <c r="E246" s="18">
        <f t="shared" si="22"/>
        <v>0.24999999999999997</v>
      </c>
      <c r="F246" s="19">
        <v>20</v>
      </c>
      <c r="G246" s="20">
        <v>61.5</v>
      </c>
      <c r="H246" s="20">
        <v>29.65</v>
      </c>
      <c r="I246" s="20">
        <v>60.6</v>
      </c>
      <c r="J246" s="20">
        <v>60</v>
      </c>
      <c r="K246" s="20">
        <v>56.85</v>
      </c>
      <c r="L246" s="20">
        <v>60.6</v>
      </c>
      <c r="M246" s="20">
        <v>59.8</v>
      </c>
      <c r="N246" s="20">
        <v>59.95</v>
      </c>
      <c r="O246" s="20"/>
      <c r="P246" s="20"/>
      <c r="Q246" s="20"/>
      <c r="R246" s="21"/>
      <c r="S246" s="21"/>
      <c r="T246" s="21"/>
      <c r="U246" s="21"/>
      <c r="V246" s="21"/>
      <c r="W246" s="21"/>
      <c r="X246" s="21"/>
      <c r="Y246" s="21"/>
    </row>
    <row r="247" spans="1:25" x14ac:dyDescent="0.25">
      <c r="A247" s="16">
        <v>224</v>
      </c>
      <c r="B247" s="16"/>
      <c r="C247" s="17">
        <v>0.35</v>
      </c>
      <c r="D247" s="17">
        <v>0.1</v>
      </c>
      <c r="E247" s="18">
        <f t="shared" si="22"/>
        <v>0.24999999999999997</v>
      </c>
      <c r="F247" s="19">
        <v>20</v>
      </c>
      <c r="G247" s="20">
        <v>61.5</v>
      </c>
      <c r="H247" s="20">
        <v>29.65</v>
      </c>
      <c r="I247" s="20">
        <v>60.6</v>
      </c>
      <c r="J247" s="20">
        <v>60</v>
      </c>
      <c r="K247" s="20">
        <v>57</v>
      </c>
      <c r="L247" s="20">
        <v>60.6</v>
      </c>
      <c r="M247" s="20">
        <v>60</v>
      </c>
      <c r="N247" s="20">
        <v>60.05</v>
      </c>
      <c r="O247" s="20"/>
      <c r="P247" s="20"/>
      <c r="Q247" s="20"/>
      <c r="R247" s="21"/>
      <c r="S247" s="21"/>
      <c r="T247" s="21"/>
      <c r="U247" s="21"/>
      <c r="V247" s="21"/>
      <c r="W247" s="21"/>
      <c r="X247" s="21"/>
      <c r="Y247" s="21"/>
    </row>
    <row r="248" spans="1:25" x14ac:dyDescent="0.25">
      <c r="A248" s="16">
        <v>225</v>
      </c>
      <c r="B248" s="16"/>
      <c r="C248" s="17">
        <v>0.35</v>
      </c>
      <c r="D248" s="17">
        <v>0.1</v>
      </c>
      <c r="E248" s="18">
        <f t="shared" si="22"/>
        <v>0.24999999999999997</v>
      </c>
      <c r="F248" s="19">
        <v>20</v>
      </c>
      <c r="G248" s="20">
        <v>61.5</v>
      </c>
      <c r="H248" s="20">
        <v>29.549999999999997</v>
      </c>
      <c r="I248" s="20">
        <v>60.5</v>
      </c>
      <c r="J248" s="20">
        <v>59.9</v>
      </c>
      <c r="K248" s="20">
        <v>56.95</v>
      </c>
      <c r="L248" s="20">
        <v>60.5</v>
      </c>
      <c r="M248" s="20">
        <v>59.9</v>
      </c>
      <c r="N248" s="20">
        <v>59.95</v>
      </c>
      <c r="O248" s="20"/>
      <c r="P248" s="20"/>
      <c r="Q248" s="20"/>
      <c r="R248" s="21"/>
      <c r="S248" s="21"/>
      <c r="T248" s="21"/>
      <c r="U248" s="21"/>
      <c r="V248" s="21"/>
      <c r="W248" s="21"/>
      <c r="X248" s="21"/>
      <c r="Y248" s="21"/>
    </row>
    <row r="249" spans="1:25" x14ac:dyDescent="0.25">
      <c r="A249" s="16">
        <v>226</v>
      </c>
      <c r="B249" s="16"/>
      <c r="C249" s="17">
        <v>0.35</v>
      </c>
      <c r="D249" s="17">
        <v>0.1</v>
      </c>
      <c r="E249" s="18">
        <f t="shared" si="22"/>
        <v>0.24999999999999997</v>
      </c>
      <c r="F249" s="19">
        <v>20</v>
      </c>
      <c r="G249" s="20">
        <v>61.3</v>
      </c>
      <c r="H249" s="20">
        <v>29.549999999999997</v>
      </c>
      <c r="I249" s="20">
        <v>60.5</v>
      </c>
      <c r="J249" s="20">
        <v>59.9</v>
      </c>
      <c r="K249" s="20">
        <v>56.849999999999994</v>
      </c>
      <c r="L249" s="20">
        <v>60.5</v>
      </c>
      <c r="M249" s="20">
        <v>59.9</v>
      </c>
      <c r="N249" s="20">
        <v>59.95</v>
      </c>
      <c r="O249" s="20"/>
      <c r="P249" s="20"/>
      <c r="Q249" s="20"/>
      <c r="R249" s="21"/>
      <c r="S249" s="21"/>
      <c r="T249" s="21"/>
      <c r="U249" s="21"/>
      <c r="V249" s="21"/>
      <c r="W249" s="21"/>
      <c r="X249" s="21"/>
      <c r="Y249" s="21"/>
    </row>
    <row r="250" spans="1:25" x14ac:dyDescent="0.25">
      <c r="A250" s="16">
        <v>227</v>
      </c>
      <c r="B250" s="16"/>
      <c r="C250" s="17">
        <v>0.35</v>
      </c>
      <c r="D250" s="17">
        <v>0.1</v>
      </c>
      <c r="E250" s="18">
        <f t="shared" si="22"/>
        <v>0.24999999999999997</v>
      </c>
      <c r="F250" s="19">
        <v>20</v>
      </c>
      <c r="G250" s="20">
        <v>61.5</v>
      </c>
      <c r="H250" s="20">
        <v>29.549999999999997</v>
      </c>
      <c r="I250" s="20">
        <v>60.5</v>
      </c>
      <c r="J250" s="20">
        <v>59.9</v>
      </c>
      <c r="K250" s="20">
        <v>56.849999999999994</v>
      </c>
      <c r="L250" s="20">
        <v>60.5</v>
      </c>
      <c r="M250" s="20">
        <v>59.9</v>
      </c>
      <c r="N250" s="20">
        <v>59.95</v>
      </c>
      <c r="O250" s="20"/>
      <c r="P250" s="20"/>
      <c r="Q250" s="20"/>
      <c r="R250" s="21"/>
      <c r="S250" s="21"/>
      <c r="T250" s="21"/>
      <c r="U250" s="21"/>
      <c r="V250" s="21"/>
      <c r="W250" s="21"/>
      <c r="X250" s="21"/>
      <c r="Y250" s="21"/>
    </row>
    <row r="251" spans="1:25" x14ac:dyDescent="0.25">
      <c r="A251" s="16">
        <v>228</v>
      </c>
      <c r="B251" s="16"/>
      <c r="C251" s="17">
        <v>0.35</v>
      </c>
      <c r="D251" s="17">
        <v>0.1</v>
      </c>
      <c r="E251" s="18">
        <f t="shared" si="22"/>
        <v>0.24999999999999997</v>
      </c>
      <c r="F251" s="19">
        <v>20</v>
      </c>
      <c r="G251" s="20">
        <v>61.4</v>
      </c>
      <c r="H251" s="20">
        <v>29.450000000000003</v>
      </c>
      <c r="I251" s="20">
        <v>60.4</v>
      </c>
      <c r="J251" s="20">
        <v>60</v>
      </c>
      <c r="K251" s="20">
        <v>56.85</v>
      </c>
      <c r="L251" s="20">
        <v>60.4</v>
      </c>
      <c r="M251" s="20">
        <v>59.8</v>
      </c>
      <c r="N251" s="20">
        <v>59.95</v>
      </c>
      <c r="O251" s="20"/>
      <c r="P251" s="20"/>
      <c r="Q251" s="20"/>
      <c r="R251" s="21"/>
      <c r="S251" s="21"/>
      <c r="T251" s="21"/>
      <c r="U251" s="21"/>
      <c r="V251" s="21"/>
      <c r="W251" s="21"/>
      <c r="X251" s="21"/>
      <c r="Y251" s="21"/>
    </row>
    <row r="252" spans="1:25" x14ac:dyDescent="0.25">
      <c r="A252" s="16">
        <v>229</v>
      </c>
      <c r="B252" s="16"/>
      <c r="C252" s="17">
        <v>0.35</v>
      </c>
      <c r="D252" s="17">
        <v>0.1</v>
      </c>
      <c r="E252" s="18">
        <f t="shared" si="22"/>
        <v>0.24999999999999997</v>
      </c>
      <c r="F252" s="19">
        <v>20</v>
      </c>
      <c r="G252" s="20">
        <v>61.4</v>
      </c>
      <c r="H252" s="20">
        <v>29.450000000000003</v>
      </c>
      <c r="I252" s="20">
        <v>60.6</v>
      </c>
      <c r="J252" s="20">
        <v>60</v>
      </c>
      <c r="K252" s="20">
        <v>56.8</v>
      </c>
      <c r="L252" s="20">
        <v>60.4</v>
      </c>
      <c r="M252" s="20">
        <v>59.8</v>
      </c>
      <c r="N252" s="20">
        <v>59.95</v>
      </c>
      <c r="O252" s="20"/>
      <c r="P252" s="20"/>
      <c r="Q252" s="20"/>
      <c r="R252" s="21"/>
      <c r="S252" s="21"/>
      <c r="T252" s="21"/>
      <c r="U252" s="21"/>
      <c r="V252" s="21"/>
      <c r="W252" s="21"/>
      <c r="X252" s="21"/>
      <c r="Y252" s="21"/>
    </row>
    <row r="253" spans="1:25" x14ac:dyDescent="0.25">
      <c r="A253" s="16">
        <v>230</v>
      </c>
      <c r="B253" s="16"/>
      <c r="C253" s="17">
        <v>0.35</v>
      </c>
      <c r="D253" s="17">
        <v>0.1</v>
      </c>
      <c r="E253" s="18">
        <f t="shared" si="22"/>
        <v>0.24999999999999997</v>
      </c>
      <c r="F253" s="19">
        <v>20</v>
      </c>
      <c r="G253" s="20">
        <v>61.4</v>
      </c>
      <c r="H253" s="20">
        <v>29.450000000000003</v>
      </c>
      <c r="I253" s="20">
        <v>60.6</v>
      </c>
      <c r="J253" s="20">
        <v>60</v>
      </c>
      <c r="K253" s="20">
        <v>56.9</v>
      </c>
      <c r="L253" s="20">
        <v>60.6</v>
      </c>
      <c r="M253" s="20">
        <v>59.8</v>
      </c>
      <c r="N253" s="20">
        <v>59.95</v>
      </c>
      <c r="O253" s="20"/>
      <c r="P253" s="20"/>
      <c r="Q253" s="20"/>
      <c r="R253" s="21"/>
      <c r="S253" s="21"/>
      <c r="T253" s="21"/>
      <c r="U253" s="21"/>
      <c r="V253" s="21"/>
      <c r="W253" s="21"/>
      <c r="X253" s="21"/>
      <c r="Y253" s="21"/>
    </row>
    <row r="254" spans="1:25" x14ac:dyDescent="0.25">
      <c r="A254" s="16"/>
      <c r="B254" s="16"/>
      <c r="C254" s="22"/>
      <c r="D254" s="22"/>
      <c r="E254" s="22"/>
      <c r="F254" s="19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21"/>
      <c r="S254" s="21"/>
      <c r="T254" s="21"/>
      <c r="U254" s="21"/>
      <c r="V254" s="21"/>
      <c r="W254" s="21"/>
      <c r="X254" s="21"/>
      <c r="Y254" s="21"/>
    </row>
    <row r="255" spans="1:25" x14ac:dyDescent="0.25">
      <c r="A255" s="16">
        <v>231</v>
      </c>
      <c r="B255" s="16" t="s">
        <v>70</v>
      </c>
      <c r="C255" s="17">
        <v>0.22500000000000001</v>
      </c>
      <c r="D255" s="17">
        <v>0.1</v>
      </c>
      <c r="E255" s="18">
        <f t="shared" ref="E255:E264" si="23">C255-D255</f>
        <v>0.125</v>
      </c>
      <c r="F255" s="19">
        <v>15</v>
      </c>
      <c r="G255" s="20">
        <v>61.3</v>
      </c>
      <c r="H255" s="20">
        <v>29.4</v>
      </c>
      <c r="I255" s="20">
        <v>60.5</v>
      </c>
      <c r="J255" s="20">
        <v>60.1</v>
      </c>
      <c r="K255" s="20">
        <v>56.8</v>
      </c>
      <c r="L255" s="20">
        <v>60.3</v>
      </c>
      <c r="M255" s="20">
        <v>59.9</v>
      </c>
      <c r="N255" s="20">
        <v>59.95</v>
      </c>
      <c r="O255" s="20"/>
      <c r="P255" s="20"/>
      <c r="Q255" s="20"/>
      <c r="R255" s="21"/>
      <c r="S255" s="21"/>
      <c r="T255" s="21"/>
      <c r="U255" s="21"/>
      <c r="V255" s="21"/>
      <c r="W255" s="21"/>
      <c r="X255" s="21"/>
      <c r="Y255" s="21"/>
    </row>
    <row r="256" spans="1:25" x14ac:dyDescent="0.25">
      <c r="A256" s="16">
        <v>232</v>
      </c>
      <c r="B256" s="16"/>
      <c r="C256" s="17">
        <v>0.22500000000000001</v>
      </c>
      <c r="D256" s="17">
        <v>0.1</v>
      </c>
      <c r="E256" s="18">
        <f t="shared" si="23"/>
        <v>0.125</v>
      </c>
      <c r="F256" s="19">
        <v>15</v>
      </c>
      <c r="G256" s="20">
        <v>61.4</v>
      </c>
      <c r="H256" s="20">
        <v>29.4</v>
      </c>
      <c r="I256" s="20">
        <v>60.5</v>
      </c>
      <c r="J256" s="20">
        <v>60.1</v>
      </c>
      <c r="K256" s="20">
        <v>56.7</v>
      </c>
      <c r="L256" s="20">
        <v>60.3</v>
      </c>
      <c r="M256" s="20">
        <v>59.9</v>
      </c>
      <c r="N256" s="20">
        <v>59.95</v>
      </c>
      <c r="O256" s="20"/>
      <c r="P256" s="20"/>
      <c r="Q256" s="20"/>
      <c r="R256" s="21"/>
      <c r="S256" s="21"/>
      <c r="T256" s="21"/>
      <c r="U256" s="21"/>
      <c r="V256" s="21"/>
      <c r="W256" s="21"/>
      <c r="X256" s="21"/>
      <c r="Y256" s="21"/>
    </row>
    <row r="257" spans="1:25" x14ac:dyDescent="0.25">
      <c r="A257" s="16">
        <v>233</v>
      </c>
      <c r="B257" s="16"/>
      <c r="C257" s="17">
        <v>0.22500000000000001</v>
      </c>
      <c r="D257" s="17">
        <v>0.1</v>
      </c>
      <c r="E257" s="18">
        <f t="shared" si="23"/>
        <v>0.125</v>
      </c>
      <c r="F257" s="19">
        <v>15</v>
      </c>
      <c r="G257" s="20">
        <v>61.3</v>
      </c>
      <c r="H257" s="20">
        <v>29.4</v>
      </c>
      <c r="I257" s="20">
        <v>60.5</v>
      </c>
      <c r="J257" s="20">
        <v>60.1</v>
      </c>
      <c r="K257" s="20">
        <v>56.8</v>
      </c>
      <c r="L257" s="20">
        <v>60.3</v>
      </c>
      <c r="M257" s="20">
        <v>59.9</v>
      </c>
      <c r="N257" s="20">
        <v>59.95</v>
      </c>
      <c r="O257" s="20"/>
      <c r="P257" s="20"/>
      <c r="Q257" s="20"/>
      <c r="R257" s="21"/>
      <c r="S257" s="21"/>
      <c r="T257" s="21"/>
      <c r="U257" s="21"/>
      <c r="V257" s="21"/>
      <c r="W257" s="21"/>
      <c r="X257" s="21"/>
      <c r="Y257" s="21"/>
    </row>
    <row r="258" spans="1:25" x14ac:dyDescent="0.25">
      <c r="A258" s="16">
        <v>234</v>
      </c>
      <c r="B258" s="16"/>
      <c r="C258" s="17">
        <v>0.22500000000000001</v>
      </c>
      <c r="D258" s="17">
        <v>0.1</v>
      </c>
      <c r="E258" s="18">
        <f t="shared" si="23"/>
        <v>0.125</v>
      </c>
      <c r="F258" s="19">
        <v>15</v>
      </c>
      <c r="G258" s="20">
        <v>61.3</v>
      </c>
      <c r="H258" s="20">
        <v>29.4</v>
      </c>
      <c r="I258" s="20">
        <v>60.5</v>
      </c>
      <c r="J258" s="20">
        <v>60.1</v>
      </c>
      <c r="K258" s="20">
        <v>56.650000000000006</v>
      </c>
      <c r="L258" s="20">
        <v>60.3</v>
      </c>
      <c r="M258" s="20">
        <v>59.9</v>
      </c>
      <c r="N258" s="20">
        <v>59.95</v>
      </c>
      <c r="O258" s="20"/>
      <c r="P258" s="20"/>
      <c r="Q258" s="20"/>
      <c r="R258" s="21"/>
      <c r="S258" s="21"/>
      <c r="T258" s="21"/>
      <c r="U258" s="21"/>
      <c r="V258" s="21"/>
      <c r="W258" s="21"/>
      <c r="X258" s="21"/>
      <c r="Y258" s="21"/>
    </row>
    <row r="259" spans="1:25" x14ac:dyDescent="0.25">
      <c r="A259" s="16">
        <v>235</v>
      </c>
      <c r="B259" s="16"/>
      <c r="C259" s="17">
        <v>0.22500000000000001</v>
      </c>
      <c r="D259" s="17">
        <v>0.1</v>
      </c>
      <c r="E259" s="18">
        <f t="shared" si="23"/>
        <v>0.125</v>
      </c>
      <c r="F259" s="19">
        <v>15</v>
      </c>
      <c r="G259" s="20">
        <v>61.4</v>
      </c>
      <c r="H259" s="20">
        <v>29.4</v>
      </c>
      <c r="I259" s="20">
        <v>60.5</v>
      </c>
      <c r="J259" s="20">
        <v>60.1</v>
      </c>
      <c r="K259" s="20">
        <v>56.8</v>
      </c>
      <c r="L259" s="20">
        <v>60.3</v>
      </c>
      <c r="M259" s="20">
        <v>59.9</v>
      </c>
      <c r="N259" s="20">
        <v>59.95</v>
      </c>
      <c r="O259" s="20"/>
      <c r="P259" s="20"/>
      <c r="Q259" s="20"/>
      <c r="R259" s="21"/>
      <c r="S259" s="21"/>
      <c r="T259" s="21"/>
      <c r="U259" s="21"/>
      <c r="V259" s="21"/>
      <c r="W259" s="21"/>
      <c r="X259" s="21"/>
      <c r="Y259" s="21"/>
    </row>
    <row r="260" spans="1:25" x14ac:dyDescent="0.25">
      <c r="A260" s="16">
        <v>236</v>
      </c>
      <c r="B260" s="16"/>
      <c r="C260" s="17">
        <v>0.22500000000000001</v>
      </c>
      <c r="D260" s="17">
        <v>0.1</v>
      </c>
      <c r="E260" s="18">
        <f t="shared" si="23"/>
        <v>0.125</v>
      </c>
      <c r="F260" s="19">
        <v>15</v>
      </c>
      <c r="G260" s="20">
        <v>61.5</v>
      </c>
      <c r="H260" s="20">
        <v>29.4</v>
      </c>
      <c r="I260" s="20">
        <v>60.5</v>
      </c>
      <c r="J260" s="20">
        <v>60.1</v>
      </c>
      <c r="K260" s="20">
        <v>56.8</v>
      </c>
      <c r="L260" s="20">
        <v>60.3</v>
      </c>
      <c r="M260" s="20">
        <v>59.9</v>
      </c>
      <c r="N260" s="20">
        <v>60.05</v>
      </c>
      <c r="O260" s="20"/>
      <c r="P260" s="20"/>
      <c r="Q260" s="20"/>
      <c r="R260" s="21"/>
      <c r="S260" s="21"/>
      <c r="T260" s="21"/>
      <c r="U260" s="21"/>
      <c r="V260" s="21"/>
      <c r="W260" s="21"/>
      <c r="X260" s="21"/>
      <c r="Y260" s="21"/>
    </row>
    <row r="261" spans="1:25" x14ac:dyDescent="0.25">
      <c r="A261" s="16">
        <v>237</v>
      </c>
      <c r="B261" s="16"/>
      <c r="C261" s="17">
        <v>0.22500000000000001</v>
      </c>
      <c r="D261" s="17">
        <v>0.1</v>
      </c>
      <c r="E261" s="18">
        <f t="shared" si="23"/>
        <v>0.125</v>
      </c>
      <c r="F261" s="19">
        <v>15</v>
      </c>
      <c r="G261" s="20">
        <v>61.5</v>
      </c>
      <c r="H261" s="20">
        <v>29.4</v>
      </c>
      <c r="I261" s="20">
        <v>60.5</v>
      </c>
      <c r="J261" s="20">
        <v>60.1</v>
      </c>
      <c r="K261" s="20">
        <v>56.85</v>
      </c>
      <c r="L261" s="20">
        <v>60.5</v>
      </c>
      <c r="M261" s="20">
        <v>59.9</v>
      </c>
      <c r="N261" s="20">
        <v>60.05</v>
      </c>
      <c r="O261" s="20"/>
      <c r="P261" s="20"/>
      <c r="Q261" s="20"/>
      <c r="R261" s="21"/>
      <c r="S261" s="21"/>
      <c r="T261" s="21"/>
      <c r="U261" s="21"/>
      <c r="V261" s="21"/>
      <c r="W261" s="21"/>
      <c r="X261" s="21"/>
      <c r="Y261" s="21"/>
    </row>
    <row r="262" spans="1:25" x14ac:dyDescent="0.25">
      <c r="A262" s="16">
        <v>238</v>
      </c>
      <c r="B262" s="16"/>
      <c r="C262" s="17">
        <v>0.22500000000000001</v>
      </c>
      <c r="D262" s="17">
        <v>0.1</v>
      </c>
      <c r="E262" s="18">
        <f t="shared" si="23"/>
        <v>0.125</v>
      </c>
      <c r="F262" s="19">
        <v>15</v>
      </c>
      <c r="G262" s="20">
        <v>61.3</v>
      </c>
      <c r="H262" s="20">
        <v>29.4</v>
      </c>
      <c r="I262" s="20">
        <v>60.5</v>
      </c>
      <c r="J262" s="20">
        <v>60.1</v>
      </c>
      <c r="K262" s="20">
        <v>56.900000000000006</v>
      </c>
      <c r="L262" s="20">
        <v>60.5</v>
      </c>
      <c r="M262" s="20">
        <v>59.9</v>
      </c>
      <c r="N262" s="20">
        <v>60.05</v>
      </c>
      <c r="O262" s="20"/>
      <c r="P262" s="20"/>
      <c r="Q262" s="20"/>
      <c r="R262" s="21"/>
      <c r="S262" s="21"/>
      <c r="T262" s="21"/>
      <c r="U262" s="21"/>
      <c r="V262" s="21"/>
      <c r="W262" s="21"/>
      <c r="X262" s="21"/>
      <c r="Y262" s="21"/>
    </row>
    <row r="263" spans="1:25" x14ac:dyDescent="0.25">
      <c r="A263" s="16">
        <v>239</v>
      </c>
      <c r="B263" s="16"/>
      <c r="C263" s="17">
        <v>0.22500000000000001</v>
      </c>
      <c r="D263" s="17">
        <v>0.1</v>
      </c>
      <c r="E263" s="18">
        <f t="shared" si="23"/>
        <v>0.125</v>
      </c>
      <c r="F263" s="19">
        <v>15</v>
      </c>
      <c r="G263" s="20">
        <v>61.3</v>
      </c>
      <c r="H263" s="20">
        <v>29.299999999999997</v>
      </c>
      <c r="I263" s="20">
        <v>60.4</v>
      </c>
      <c r="J263" s="20">
        <v>60</v>
      </c>
      <c r="K263" s="20">
        <v>56.7</v>
      </c>
      <c r="L263" s="20">
        <v>60.4</v>
      </c>
      <c r="M263" s="20">
        <v>59.8</v>
      </c>
      <c r="N263" s="20">
        <v>59.95</v>
      </c>
      <c r="O263" s="20"/>
      <c r="P263" s="20"/>
      <c r="Q263" s="20"/>
      <c r="R263" s="21"/>
      <c r="S263" s="21"/>
      <c r="T263" s="21"/>
      <c r="U263" s="21"/>
      <c r="V263" s="21"/>
      <c r="W263" s="21"/>
      <c r="X263" s="21"/>
      <c r="Y263" s="21"/>
    </row>
    <row r="264" spans="1:25" x14ac:dyDescent="0.25">
      <c r="A264" s="16">
        <v>240</v>
      </c>
      <c r="B264" s="16"/>
      <c r="C264" s="17">
        <v>0.22500000000000001</v>
      </c>
      <c r="D264" s="17">
        <v>0.1</v>
      </c>
      <c r="E264" s="18">
        <f t="shared" si="23"/>
        <v>0.125</v>
      </c>
      <c r="F264" s="19">
        <v>15</v>
      </c>
      <c r="G264" s="20">
        <v>61.5</v>
      </c>
      <c r="H264" s="20">
        <v>29.4</v>
      </c>
      <c r="I264" s="20">
        <v>60.5</v>
      </c>
      <c r="J264" s="20">
        <v>60.1</v>
      </c>
      <c r="K264" s="20">
        <v>56.900000000000006</v>
      </c>
      <c r="L264" s="20">
        <v>60.5</v>
      </c>
      <c r="M264" s="20">
        <v>59.9</v>
      </c>
      <c r="N264" s="20">
        <v>60.05</v>
      </c>
      <c r="O264" s="20"/>
      <c r="P264" s="20"/>
      <c r="Q264" s="20"/>
      <c r="R264" s="21"/>
      <c r="S264" s="21"/>
      <c r="T264" s="21"/>
      <c r="U264" s="21"/>
      <c r="V264" s="21"/>
      <c r="W264" s="21"/>
      <c r="X264" s="21"/>
      <c r="Y264" s="21"/>
    </row>
    <row r="265" spans="1:25" x14ac:dyDescent="0.25">
      <c r="A265" s="16"/>
      <c r="B265" s="16"/>
      <c r="C265" s="22"/>
      <c r="D265" s="22"/>
      <c r="E265" s="22"/>
      <c r="F265" s="19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21"/>
      <c r="S265" s="21"/>
      <c r="T265" s="21"/>
      <c r="U265" s="21"/>
      <c r="V265" s="21"/>
      <c r="W265" s="21"/>
      <c r="X265" s="21"/>
      <c r="Y265" s="21"/>
    </row>
    <row r="266" spans="1:25" x14ac:dyDescent="0.25">
      <c r="A266" s="16">
        <v>241</v>
      </c>
      <c r="B266" s="16" t="s">
        <v>71</v>
      </c>
      <c r="C266" s="17">
        <v>0.15</v>
      </c>
      <c r="D266" s="17">
        <v>7.4999999999999997E-2</v>
      </c>
      <c r="E266" s="18">
        <f t="shared" ref="E266:E275" si="24">C266-D266</f>
        <v>7.4999999999999997E-2</v>
      </c>
      <c r="F266" s="19">
        <v>10</v>
      </c>
      <c r="G266" s="20">
        <v>61.2</v>
      </c>
      <c r="H266" s="20">
        <v>29.299999999999997</v>
      </c>
      <c r="I266" s="20">
        <v>60.4</v>
      </c>
      <c r="J266" s="20">
        <v>60</v>
      </c>
      <c r="K266" s="20">
        <v>56.65</v>
      </c>
      <c r="L266" s="20">
        <v>60.2</v>
      </c>
      <c r="M266" s="20">
        <v>59.8</v>
      </c>
      <c r="N266" s="20">
        <v>59.849999999999994</v>
      </c>
      <c r="O266" s="20"/>
      <c r="P266" s="20"/>
      <c r="Q266" s="20"/>
      <c r="R266" s="21"/>
      <c r="S266" s="21"/>
      <c r="T266" s="21"/>
      <c r="U266" s="21"/>
      <c r="V266" s="21"/>
      <c r="W266" s="21"/>
      <c r="X266" s="21"/>
      <c r="Y266" s="21"/>
    </row>
    <row r="267" spans="1:25" x14ac:dyDescent="0.25">
      <c r="A267" s="16">
        <v>242</v>
      </c>
      <c r="B267" s="16"/>
      <c r="C267" s="17">
        <v>0.15</v>
      </c>
      <c r="D267" s="17">
        <v>7.4999999999999997E-2</v>
      </c>
      <c r="E267" s="18">
        <f t="shared" si="24"/>
        <v>7.4999999999999997E-2</v>
      </c>
      <c r="F267" s="19">
        <v>10</v>
      </c>
      <c r="G267" s="20">
        <v>61.2</v>
      </c>
      <c r="H267" s="20">
        <v>29.299999999999997</v>
      </c>
      <c r="I267" s="20">
        <v>60.4</v>
      </c>
      <c r="J267" s="20">
        <v>60</v>
      </c>
      <c r="K267" s="20">
        <v>56.65</v>
      </c>
      <c r="L267" s="20">
        <v>60.2</v>
      </c>
      <c r="M267" s="20">
        <v>59.8</v>
      </c>
      <c r="N267" s="20">
        <v>59.849999999999994</v>
      </c>
      <c r="O267" s="20"/>
      <c r="P267" s="20"/>
      <c r="Q267" s="20"/>
      <c r="R267" s="21"/>
      <c r="S267" s="21"/>
      <c r="T267" s="21"/>
      <c r="U267" s="21"/>
      <c r="V267" s="21"/>
      <c r="W267" s="21"/>
      <c r="X267" s="21"/>
      <c r="Y267" s="21"/>
    </row>
    <row r="268" spans="1:25" x14ac:dyDescent="0.25">
      <c r="A268" s="16">
        <v>243</v>
      </c>
      <c r="B268" s="16"/>
      <c r="C268" s="17">
        <v>0.15</v>
      </c>
      <c r="D268" s="17">
        <v>7.4999999999999997E-2</v>
      </c>
      <c r="E268" s="18">
        <f t="shared" si="24"/>
        <v>7.4999999999999997E-2</v>
      </c>
      <c r="F268" s="19">
        <v>10</v>
      </c>
      <c r="G268" s="20">
        <v>61.2</v>
      </c>
      <c r="H268" s="20">
        <v>29.299999999999997</v>
      </c>
      <c r="I268" s="20">
        <v>60.4</v>
      </c>
      <c r="J268" s="20">
        <v>60</v>
      </c>
      <c r="K268" s="20">
        <v>56.6</v>
      </c>
      <c r="L268" s="20">
        <v>60.2</v>
      </c>
      <c r="M268" s="20">
        <v>59.8</v>
      </c>
      <c r="N268" s="20">
        <v>59.849999999999994</v>
      </c>
      <c r="O268" s="20"/>
      <c r="P268" s="20"/>
      <c r="Q268" s="20"/>
      <c r="R268" s="21"/>
      <c r="S268" s="21"/>
      <c r="T268" s="21"/>
      <c r="U268" s="21"/>
      <c r="V268" s="21"/>
      <c r="W268" s="21"/>
      <c r="X268" s="21"/>
      <c r="Y268" s="21"/>
    </row>
    <row r="269" spans="1:25" x14ac:dyDescent="0.25">
      <c r="A269" s="16">
        <v>244</v>
      </c>
      <c r="B269" s="16"/>
      <c r="C269" s="17">
        <v>0.15</v>
      </c>
      <c r="D269" s="17">
        <v>7.4999999999999997E-2</v>
      </c>
      <c r="E269" s="18">
        <f t="shared" si="24"/>
        <v>7.4999999999999997E-2</v>
      </c>
      <c r="F269" s="19">
        <v>10</v>
      </c>
      <c r="G269" s="20">
        <v>61.2</v>
      </c>
      <c r="H269" s="20">
        <v>29.299999999999997</v>
      </c>
      <c r="I269" s="20">
        <v>60.4</v>
      </c>
      <c r="J269" s="20">
        <v>60</v>
      </c>
      <c r="K269" s="20">
        <v>56.7</v>
      </c>
      <c r="L269" s="20">
        <v>60.2</v>
      </c>
      <c r="M269" s="20">
        <v>59.8</v>
      </c>
      <c r="N269" s="20">
        <v>59.849999999999994</v>
      </c>
      <c r="O269" s="20"/>
      <c r="P269" s="20"/>
      <c r="Q269" s="20"/>
      <c r="R269" s="21"/>
      <c r="S269" s="21"/>
      <c r="T269" s="21"/>
      <c r="U269" s="21"/>
      <c r="V269" s="21"/>
      <c r="W269" s="21"/>
      <c r="X269" s="21"/>
      <c r="Y269" s="21"/>
    </row>
    <row r="270" spans="1:25" x14ac:dyDescent="0.25">
      <c r="A270" s="16">
        <v>245</v>
      </c>
      <c r="B270" s="16"/>
      <c r="C270" s="17">
        <v>0.15</v>
      </c>
      <c r="D270" s="17">
        <v>7.4999999999999997E-2</v>
      </c>
      <c r="E270" s="18">
        <f t="shared" si="24"/>
        <v>7.4999999999999997E-2</v>
      </c>
      <c r="F270" s="19">
        <v>10</v>
      </c>
      <c r="G270" s="20">
        <v>61.2</v>
      </c>
      <c r="H270" s="20">
        <v>29.299999999999997</v>
      </c>
      <c r="I270" s="20">
        <v>60.4</v>
      </c>
      <c r="J270" s="20">
        <v>60</v>
      </c>
      <c r="K270" s="20">
        <v>56.7</v>
      </c>
      <c r="L270" s="20">
        <v>60.2</v>
      </c>
      <c r="M270" s="20">
        <v>59.8</v>
      </c>
      <c r="N270" s="20">
        <v>59.849999999999994</v>
      </c>
      <c r="O270" s="20"/>
      <c r="P270" s="20"/>
      <c r="Q270" s="20"/>
      <c r="R270" s="21"/>
      <c r="S270" s="21"/>
      <c r="T270" s="21"/>
      <c r="U270" s="21"/>
      <c r="V270" s="21"/>
      <c r="W270" s="21"/>
      <c r="X270" s="21"/>
      <c r="Y270" s="21"/>
    </row>
    <row r="271" spans="1:25" x14ac:dyDescent="0.25">
      <c r="A271" s="16">
        <v>246</v>
      </c>
      <c r="B271" s="16"/>
      <c r="C271" s="17">
        <v>0.15</v>
      </c>
      <c r="D271" s="17">
        <v>7.4999999999999997E-2</v>
      </c>
      <c r="E271" s="18">
        <f t="shared" si="24"/>
        <v>7.4999999999999997E-2</v>
      </c>
      <c r="F271" s="19">
        <v>10</v>
      </c>
      <c r="G271" s="20">
        <v>61.25</v>
      </c>
      <c r="H271" s="20">
        <v>29.299999999999997</v>
      </c>
      <c r="I271" s="20">
        <v>60.4</v>
      </c>
      <c r="J271" s="20">
        <v>60</v>
      </c>
      <c r="K271" s="20">
        <v>56.7</v>
      </c>
      <c r="L271" s="20">
        <v>60.2</v>
      </c>
      <c r="M271" s="20">
        <v>59.8</v>
      </c>
      <c r="N271" s="20">
        <v>59.849999999999994</v>
      </c>
      <c r="O271" s="20"/>
      <c r="P271" s="20"/>
      <c r="Q271" s="20"/>
      <c r="R271" s="21"/>
      <c r="S271" s="21"/>
      <c r="T271" s="21"/>
      <c r="U271" s="21"/>
      <c r="V271" s="21"/>
      <c r="W271" s="21"/>
      <c r="X271" s="21"/>
      <c r="Y271" s="21"/>
    </row>
    <row r="272" spans="1:25" x14ac:dyDescent="0.25">
      <c r="A272" s="16">
        <v>247</v>
      </c>
      <c r="B272" s="16"/>
      <c r="C272" s="17">
        <v>0.15</v>
      </c>
      <c r="D272" s="17">
        <v>7.4999999999999997E-2</v>
      </c>
      <c r="E272" s="18">
        <f t="shared" si="24"/>
        <v>7.4999999999999997E-2</v>
      </c>
      <c r="F272" s="19">
        <v>10</v>
      </c>
      <c r="G272" s="20">
        <v>61.2</v>
      </c>
      <c r="H272" s="20">
        <v>29.299999999999997</v>
      </c>
      <c r="I272" s="20">
        <v>60.4</v>
      </c>
      <c r="J272" s="20">
        <v>60</v>
      </c>
      <c r="K272" s="20">
        <v>56.65</v>
      </c>
      <c r="L272" s="20">
        <v>60.2</v>
      </c>
      <c r="M272" s="20">
        <v>59.8</v>
      </c>
      <c r="N272" s="20">
        <v>59.849999999999994</v>
      </c>
      <c r="O272" s="20"/>
      <c r="P272" s="20"/>
      <c r="Q272" s="20"/>
      <c r="R272" s="21"/>
      <c r="S272" s="21"/>
      <c r="T272" s="21"/>
      <c r="U272" s="21"/>
      <c r="V272" s="21"/>
      <c r="W272" s="21"/>
      <c r="X272" s="21"/>
      <c r="Y272" s="21"/>
    </row>
    <row r="273" spans="1:25" x14ac:dyDescent="0.25">
      <c r="A273" s="16">
        <v>248</v>
      </c>
      <c r="B273" s="16"/>
      <c r="C273" s="17">
        <v>0.15</v>
      </c>
      <c r="D273" s="17">
        <v>7.4999999999999997E-2</v>
      </c>
      <c r="E273" s="18">
        <f t="shared" si="24"/>
        <v>7.4999999999999997E-2</v>
      </c>
      <c r="F273" s="19">
        <v>10</v>
      </c>
      <c r="G273" s="20">
        <v>61.2</v>
      </c>
      <c r="H273" s="20">
        <v>29.299999999999997</v>
      </c>
      <c r="I273" s="20">
        <v>60.2</v>
      </c>
      <c r="J273" s="20">
        <v>60</v>
      </c>
      <c r="K273" s="20">
        <v>56.65</v>
      </c>
      <c r="L273" s="20">
        <v>60.2</v>
      </c>
      <c r="M273" s="20">
        <v>59.8</v>
      </c>
      <c r="N273" s="20">
        <v>59.849999999999994</v>
      </c>
      <c r="O273" s="20"/>
      <c r="P273" s="20"/>
      <c r="Q273" s="20"/>
      <c r="R273" s="21"/>
      <c r="S273" s="21"/>
      <c r="T273" s="21"/>
      <c r="U273" s="21"/>
      <c r="V273" s="21"/>
      <c r="W273" s="21"/>
      <c r="X273" s="21"/>
      <c r="Y273" s="21"/>
    </row>
    <row r="274" spans="1:25" x14ac:dyDescent="0.25">
      <c r="A274" s="16">
        <v>249</v>
      </c>
      <c r="B274" s="16"/>
      <c r="C274" s="17">
        <v>0.15</v>
      </c>
      <c r="D274" s="17">
        <v>7.4999999999999997E-2</v>
      </c>
      <c r="E274" s="18">
        <f t="shared" si="24"/>
        <v>7.4999999999999997E-2</v>
      </c>
      <c r="F274" s="19">
        <v>10</v>
      </c>
      <c r="G274" s="20">
        <v>61.2</v>
      </c>
      <c r="H274" s="20">
        <v>29.299999999999997</v>
      </c>
      <c r="I274" s="20">
        <v>60.2</v>
      </c>
      <c r="J274" s="20">
        <v>60</v>
      </c>
      <c r="K274" s="20">
        <v>56.6</v>
      </c>
      <c r="L274" s="20">
        <v>60.2</v>
      </c>
      <c r="M274" s="20">
        <v>59.8</v>
      </c>
      <c r="N274" s="20">
        <v>59.849999999999994</v>
      </c>
      <c r="O274" s="20"/>
      <c r="P274" s="20"/>
      <c r="Q274" s="20"/>
      <c r="R274" s="21"/>
      <c r="S274" s="21"/>
      <c r="T274" s="21"/>
      <c r="U274" s="21"/>
      <c r="V274" s="21"/>
      <c r="W274" s="21"/>
      <c r="X274" s="21"/>
      <c r="Y274" s="21"/>
    </row>
    <row r="275" spans="1:25" x14ac:dyDescent="0.25">
      <c r="A275" s="16">
        <v>250</v>
      </c>
      <c r="B275" s="16"/>
      <c r="C275" s="17">
        <v>0.15</v>
      </c>
      <c r="D275" s="17">
        <v>7.4999999999999997E-2</v>
      </c>
      <c r="E275" s="18">
        <f t="shared" si="24"/>
        <v>7.4999999999999997E-2</v>
      </c>
      <c r="F275" s="19">
        <v>10</v>
      </c>
      <c r="G275" s="20">
        <v>61.3</v>
      </c>
      <c r="H275" s="20">
        <v>29.299999999999997</v>
      </c>
      <c r="I275" s="20">
        <v>60.4</v>
      </c>
      <c r="J275" s="20">
        <v>60</v>
      </c>
      <c r="K275" s="20">
        <v>56.7</v>
      </c>
      <c r="L275" s="20">
        <v>60.2</v>
      </c>
      <c r="M275" s="20">
        <v>59.8</v>
      </c>
      <c r="N275" s="20">
        <v>59.849999999999994</v>
      </c>
      <c r="O275" s="20"/>
      <c r="P275" s="20"/>
      <c r="Q275" s="20"/>
      <c r="R275" s="21"/>
      <c r="S275" s="21"/>
      <c r="T275" s="21"/>
      <c r="U275" s="21"/>
      <c r="V275" s="21"/>
      <c r="W275" s="21"/>
      <c r="X275" s="21"/>
      <c r="Y275" s="21"/>
    </row>
    <row r="276" spans="1:25" x14ac:dyDescent="0.25">
      <c r="A276" s="16"/>
      <c r="B276" s="16"/>
      <c r="C276" s="22"/>
      <c r="D276" s="22"/>
      <c r="E276" s="22"/>
      <c r="F276" s="19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21"/>
      <c r="S276" s="21"/>
      <c r="T276" s="21"/>
      <c r="U276" s="21"/>
      <c r="V276" s="21"/>
      <c r="W276" s="21"/>
      <c r="X276" s="21"/>
      <c r="Y276" s="21"/>
    </row>
    <row r="277" spans="1:25" x14ac:dyDescent="0.25">
      <c r="A277" s="16">
        <v>251</v>
      </c>
      <c r="B277" s="16" t="s">
        <v>72</v>
      </c>
      <c r="C277" s="17">
        <v>0.1</v>
      </c>
      <c r="D277" s="17">
        <v>6.9999999999999993E-2</v>
      </c>
      <c r="E277" s="18">
        <f t="shared" ref="E277:E286" si="25">C277-D277</f>
        <v>3.0000000000000013E-2</v>
      </c>
      <c r="F277" s="19">
        <v>5</v>
      </c>
      <c r="G277" s="20">
        <v>59.9</v>
      </c>
      <c r="H277" s="20">
        <v>26.85</v>
      </c>
      <c r="I277" s="20">
        <v>59.6</v>
      </c>
      <c r="J277" s="20">
        <v>59.2</v>
      </c>
      <c r="K277" s="20">
        <v>55.55</v>
      </c>
      <c r="L277" s="20">
        <v>59.2</v>
      </c>
      <c r="M277" s="20">
        <v>59.2</v>
      </c>
      <c r="N277" s="20">
        <v>58.4</v>
      </c>
      <c r="O277" s="20"/>
      <c r="P277" s="20"/>
      <c r="Q277" s="20"/>
      <c r="R277" s="21"/>
      <c r="S277" s="21"/>
      <c r="T277" s="21"/>
      <c r="U277" s="21"/>
      <c r="V277" s="21"/>
      <c r="W277" s="21"/>
      <c r="X277" s="21"/>
      <c r="Y277" s="21"/>
    </row>
    <row r="278" spans="1:25" x14ac:dyDescent="0.25">
      <c r="A278" s="16">
        <v>252</v>
      </c>
      <c r="B278" s="16"/>
      <c r="C278" s="17">
        <v>0.1</v>
      </c>
      <c r="D278" s="17">
        <v>6.9999999999999993E-2</v>
      </c>
      <c r="E278" s="18">
        <f t="shared" si="25"/>
        <v>3.0000000000000013E-2</v>
      </c>
      <c r="F278" s="19">
        <v>5</v>
      </c>
      <c r="G278" s="20">
        <v>59.849999999999994</v>
      </c>
      <c r="H278" s="20">
        <v>26.95</v>
      </c>
      <c r="I278" s="20">
        <v>59.6</v>
      </c>
      <c r="J278" s="20">
        <v>59.2</v>
      </c>
      <c r="K278" s="20">
        <v>55.400000000000006</v>
      </c>
      <c r="L278" s="20">
        <v>59.2</v>
      </c>
      <c r="M278" s="20">
        <v>59.2</v>
      </c>
      <c r="N278" s="20">
        <v>58.4</v>
      </c>
      <c r="O278" s="20"/>
      <c r="P278" s="20"/>
      <c r="Q278" s="20"/>
      <c r="R278" s="21"/>
      <c r="S278" s="21"/>
      <c r="T278" s="21"/>
      <c r="U278" s="21"/>
      <c r="V278" s="21"/>
      <c r="W278" s="21"/>
      <c r="X278" s="21"/>
      <c r="Y278" s="21"/>
    </row>
    <row r="279" spans="1:25" x14ac:dyDescent="0.25">
      <c r="A279" s="16">
        <v>253</v>
      </c>
      <c r="B279" s="16"/>
      <c r="C279" s="17">
        <v>0.1</v>
      </c>
      <c r="D279" s="17">
        <v>6.9999999999999993E-2</v>
      </c>
      <c r="E279" s="18">
        <f t="shared" si="25"/>
        <v>3.0000000000000013E-2</v>
      </c>
      <c r="F279" s="19">
        <v>5</v>
      </c>
      <c r="G279" s="20">
        <v>59.65</v>
      </c>
      <c r="H279" s="20">
        <v>26.95</v>
      </c>
      <c r="I279" s="20">
        <v>59.6</v>
      </c>
      <c r="J279" s="20">
        <v>59.2</v>
      </c>
      <c r="K279" s="20">
        <v>55.650000000000006</v>
      </c>
      <c r="L279" s="20">
        <v>59.2</v>
      </c>
      <c r="M279" s="20">
        <v>59.2</v>
      </c>
      <c r="N279" s="20">
        <v>58.5</v>
      </c>
      <c r="O279" s="20"/>
      <c r="P279" s="20"/>
      <c r="Q279" s="20"/>
      <c r="R279" s="21"/>
      <c r="S279" s="21"/>
      <c r="T279" s="21"/>
      <c r="U279" s="21"/>
      <c r="V279" s="21"/>
      <c r="W279" s="21"/>
      <c r="X279" s="21"/>
      <c r="Y279" s="21"/>
    </row>
    <row r="280" spans="1:25" x14ac:dyDescent="0.25">
      <c r="A280" s="16">
        <v>254</v>
      </c>
      <c r="B280" s="16"/>
      <c r="C280" s="17">
        <v>0.1</v>
      </c>
      <c r="D280" s="17">
        <v>6.9999999999999993E-2</v>
      </c>
      <c r="E280" s="18">
        <f t="shared" si="25"/>
        <v>3.0000000000000013E-2</v>
      </c>
      <c r="F280" s="19">
        <v>5</v>
      </c>
      <c r="G280" s="20">
        <v>59.849999999999994</v>
      </c>
      <c r="H280" s="20">
        <v>26.95</v>
      </c>
      <c r="I280" s="20">
        <v>59.6</v>
      </c>
      <c r="J280" s="20">
        <v>59.2</v>
      </c>
      <c r="K280" s="20">
        <v>55.849999999999994</v>
      </c>
      <c r="L280" s="20">
        <v>59.2</v>
      </c>
      <c r="M280" s="20">
        <v>59.2</v>
      </c>
      <c r="N280" s="20">
        <v>58.55</v>
      </c>
      <c r="O280" s="20"/>
      <c r="P280" s="20"/>
      <c r="Q280" s="20"/>
      <c r="R280" s="21"/>
      <c r="S280" s="21"/>
      <c r="T280" s="21"/>
      <c r="U280" s="21"/>
      <c r="V280" s="21"/>
      <c r="W280" s="21"/>
      <c r="X280" s="21"/>
      <c r="Y280" s="21"/>
    </row>
    <row r="281" spans="1:25" x14ac:dyDescent="0.25">
      <c r="A281" s="16">
        <v>255</v>
      </c>
      <c r="B281" s="16"/>
      <c r="C281" s="17">
        <v>0.1</v>
      </c>
      <c r="D281" s="17">
        <v>6.9999999999999993E-2</v>
      </c>
      <c r="E281" s="18">
        <f t="shared" si="25"/>
        <v>3.0000000000000013E-2</v>
      </c>
      <c r="F281" s="19">
        <v>5</v>
      </c>
      <c r="G281" s="20">
        <v>59.849999999999994</v>
      </c>
      <c r="H281" s="20">
        <v>26.85</v>
      </c>
      <c r="I281" s="20">
        <v>59.6</v>
      </c>
      <c r="J281" s="20">
        <v>59.2</v>
      </c>
      <c r="K281" s="20">
        <v>55.75</v>
      </c>
      <c r="L281" s="20">
        <v>59.2</v>
      </c>
      <c r="M281" s="20">
        <v>59.2</v>
      </c>
      <c r="N281" s="20">
        <v>58.55</v>
      </c>
      <c r="O281" s="20"/>
      <c r="P281" s="20"/>
      <c r="Q281" s="20"/>
      <c r="R281" s="21"/>
      <c r="S281" s="21"/>
      <c r="T281" s="21"/>
      <c r="U281" s="21"/>
      <c r="V281" s="21"/>
      <c r="W281" s="21"/>
      <c r="X281" s="21"/>
      <c r="Y281" s="21"/>
    </row>
    <row r="282" spans="1:25" x14ac:dyDescent="0.25">
      <c r="A282" s="16">
        <v>256</v>
      </c>
      <c r="B282" s="16"/>
      <c r="C282" s="17">
        <v>0.1</v>
      </c>
      <c r="D282" s="17">
        <v>6.9999999999999993E-2</v>
      </c>
      <c r="E282" s="18">
        <f t="shared" si="25"/>
        <v>3.0000000000000013E-2</v>
      </c>
      <c r="F282" s="19">
        <v>5</v>
      </c>
      <c r="G282" s="20">
        <v>60.05</v>
      </c>
      <c r="H282" s="20">
        <v>26.85</v>
      </c>
      <c r="I282" s="20">
        <v>59.6</v>
      </c>
      <c r="J282" s="20">
        <v>59.2</v>
      </c>
      <c r="K282" s="20">
        <v>55.849999999999994</v>
      </c>
      <c r="L282" s="20">
        <v>59.2</v>
      </c>
      <c r="M282" s="20">
        <v>59</v>
      </c>
      <c r="N282" s="20">
        <v>58.55</v>
      </c>
      <c r="O282" s="20"/>
      <c r="P282" s="20"/>
      <c r="Q282" s="20"/>
      <c r="R282" s="21"/>
      <c r="S282" s="21"/>
      <c r="T282" s="21"/>
      <c r="U282" s="21"/>
      <c r="V282" s="21"/>
      <c r="W282" s="21"/>
      <c r="X282" s="21"/>
      <c r="Y282" s="21"/>
    </row>
    <row r="283" spans="1:25" x14ac:dyDescent="0.25">
      <c r="A283" s="16">
        <v>257</v>
      </c>
      <c r="B283" s="16"/>
      <c r="C283" s="17">
        <v>0.1</v>
      </c>
      <c r="D283" s="17">
        <v>6.9999999999999993E-2</v>
      </c>
      <c r="E283" s="18">
        <f t="shared" si="25"/>
        <v>3.0000000000000013E-2</v>
      </c>
      <c r="F283" s="19">
        <v>5</v>
      </c>
      <c r="G283" s="20">
        <v>60.1</v>
      </c>
      <c r="H283" s="20">
        <v>26.950000000000003</v>
      </c>
      <c r="I283" s="20">
        <v>59.7</v>
      </c>
      <c r="J283" s="20">
        <v>59.3</v>
      </c>
      <c r="K283" s="20">
        <v>55.8</v>
      </c>
      <c r="L283" s="20">
        <v>59.3</v>
      </c>
      <c r="M283" s="20">
        <v>59.1</v>
      </c>
      <c r="N283" s="20">
        <v>58.650000000000006</v>
      </c>
      <c r="O283" s="20"/>
      <c r="P283" s="20"/>
      <c r="Q283" s="20"/>
      <c r="R283" s="21"/>
      <c r="S283" s="21"/>
      <c r="T283" s="21"/>
      <c r="U283" s="21"/>
      <c r="V283" s="21"/>
      <c r="W283" s="21"/>
      <c r="X283" s="21"/>
      <c r="Y283" s="21"/>
    </row>
    <row r="284" spans="1:25" x14ac:dyDescent="0.25">
      <c r="A284" s="16">
        <v>258</v>
      </c>
      <c r="B284" s="16"/>
      <c r="C284" s="17">
        <v>0.1</v>
      </c>
      <c r="D284" s="17">
        <v>6.9999999999999993E-2</v>
      </c>
      <c r="E284" s="18">
        <f t="shared" si="25"/>
        <v>3.0000000000000013E-2</v>
      </c>
      <c r="F284" s="19">
        <v>5</v>
      </c>
      <c r="G284" s="20">
        <v>59.9</v>
      </c>
      <c r="H284" s="20">
        <v>26.85</v>
      </c>
      <c r="I284" s="20">
        <v>59.7</v>
      </c>
      <c r="J284" s="20">
        <v>59.3</v>
      </c>
      <c r="K284" s="20">
        <v>55.6</v>
      </c>
      <c r="L284" s="20">
        <v>59.3</v>
      </c>
      <c r="M284" s="20">
        <v>59.1</v>
      </c>
      <c r="N284" s="20">
        <v>58.6</v>
      </c>
      <c r="O284" s="20"/>
      <c r="P284" s="20"/>
      <c r="Q284" s="20"/>
      <c r="R284" s="21"/>
      <c r="S284" s="21"/>
      <c r="T284" s="21"/>
      <c r="U284" s="21"/>
      <c r="V284" s="21"/>
      <c r="W284" s="21"/>
      <c r="X284" s="21"/>
      <c r="Y284" s="21"/>
    </row>
    <row r="285" spans="1:25" x14ac:dyDescent="0.25">
      <c r="A285" s="16">
        <v>259</v>
      </c>
      <c r="B285" s="16"/>
      <c r="C285" s="17">
        <v>0.1</v>
      </c>
      <c r="D285" s="17">
        <v>6.9999999999999993E-2</v>
      </c>
      <c r="E285" s="18">
        <f t="shared" si="25"/>
        <v>3.0000000000000013E-2</v>
      </c>
      <c r="F285" s="19">
        <v>5</v>
      </c>
      <c r="G285" s="20">
        <v>59.849999999999994</v>
      </c>
      <c r="H285" s="20">
        <v>26.85</v>
      </c>
      <c r="I285" s="20">
        <v>59.5</v>
      </c>
      <c r="J285" s="20">
        <v>59.3</v>
      </c>
      <c r="K285" s="20">
        <v>55.75</v>
      </c>
      <c r="L285" s="20">
        <v>59.3</v>
      </c>
      <c r="M285" s="20">
        <v>59.1</v>
      </c>
      <c r="N285" s="20">
        <v>58.55</v>
      </c>
      <c r="O285" s="20"/>
      <c r="P285" s="20"/>
      <c r="Q285" s="20"/>
      <c r="R285" s="21"/>
      <c r="S285" s="21"/>
      <c r="T285" s="21"/>
      <c r="U285" s="21"/>
      <c r="V285" s="21"/>
      <c r="W285" s="21"/>
      <c r="X285" s="21"/>
      <c r="Y285" s="21"/>
    </row>
    <row r="286" spans="1:25" x14ac:dyDescent="0.25">
      <c r="A286" s="16">
        <v>260</v>
      </c>
      <c r="B286" s="16"/>
      <c r="C286" s="17">
        <v>0.1</v>
      </c>
      <c r="D286" s="17">
        <v>6.9999999999999993E-2</v>
      </c>
      <c r="E286" s="18">
        <f t="shared" si="25"/>
        <v>3.0000000000000013E-2</v>
      </c>
      <c r="F286" s="19">
        <v>5</v>
      </c>
      <c r="G286" s="20">
        <v>60.150000000000006</v>
      </c>
      <c r="H286" s="20">
        <v>26.85</v>
      </c>
      <c r="I286" s="20">
        <v>59.5</v>
      </c>
      <c r="J286" s="20">
        <v>59.3</v>
      </c>
      <c r="K286" s="20">
        <v>55.75</v>
      </c>
      <c r="L286" s="20">
        <v>59.3</v>
      </c>
      <c r="M286" s="20">
        <v>59.1</v>
      </c>
      <c r="N286" s="20">
        <v>58.5</v>
      </c>
      <c r="O286" s="20"/>
      <c r="P286" s="20"/>
      <c r="Q286" s="20"/>
      <c r="R286" s="21"/>
      <c r="S286" s="21"/>
      <c r="T286" s="21"/>
      <c r="U286" s="21"/>
      <c r="V286" s="21"/>
      <c r="W286" s="21"/>
      <c r="X286" s="21"/>
      <c r="Y286" s="21"/>
    </row>
    <row r="287" spans="1:25" x14ac:dyDescent="0.25">
      <c r="A287" s="16"/>
      <c r="B287" s="16"/>
      <c r="C287" s="22"/>
      <c r="D287" s="22"/>
      <c r="E287" s="22"/>
      <c r="F287" s="19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21"/>
      <c r="S287" s="21"/>
      <c r="T287" s="21"/>
      <c r="U287" s="21"/>
      <c r="V287" s="21"/>
      <c r="W287" s="21"/>
      <c r="X287" s="21"/>
      <c r="Y287" s="21"/>
    </row>
    <row r="288" spans="1:25" x14ac:dyDescent="0.25">
      <c r="A288" s="16">
        <v>261</v>
      </c>
      <c r="B288" s="23" t="s">
        <v>73</v>
      </c>
      <c r="C288" s="17">
        <v>0.5</v>
      </c>
      <c r="D288" s="17">
        <v>0.1</v>
      </c>
      <c r="E288" s="18">
        <f t="shared" ref="E288:E297" si="26">C288-D288</f>
        <v>0.4</v>
      </c>
      <c r="F288" s="26">
        <v>20</v>
      </c>
      <c r="G288" s="20">
        <v>62.55</v>
      </c>
      <c r="H288" s="20">
        <v>26.299999999999997</v>
      </c>
      <c r="I288" s="20">
        <v>60.6</v>
      </c>
      <c r="J288" s="20">
        <v>60.6</v>
      </c>
      <c r="K288" s="20">
        <v>56.15</v>
      </c>
      <c r="L288" s="20"/>
      <c r="M288" s="20"/>
      <c r="N288" s="20"/>
      <c r="O288" s="20"/>
      <c r="P288" s="20"/>
      <c r="Q288" s="20"/>
      <c r="R288" s="21"/>
      <c r="S288" s="21"/>
      <c r="T288" s="21"/>
      <c r="U288" s="21"/>
      <c r="V288" s="21"/>
      <c r="W288" s="21"/>
      <c r="X288" s="21"/>
      <c r="Y288" s="21"/>
    </row>
    <row r="289" spans="1:25" x14ac:dyDescent="0.25">
      <c r="A289" s="16">
        <v>262</v>
      </c>
      <c r="B289" s="16"/>
      <c r="C289" s="17">
        <v>0.5</v>
      </c>
      <c r="D289" s="17">
        <v>0.1</v>
      </c>
      <c r="E289" s="18">
        <f t="shared" si="26"/>
        <v>0.4</v>
      </c>
      <c r="F289" s="26">
        <v>20</v>
      </c>
      <c r="G289" s="20">
        <v>61.5</v>
      </c>
      <c r="H289" s="20">
        <v>26.299999999999997</v>
      </c>
      <c r="I289" s="20">
        <v>60.4</v>
      </c>
      <c r="J289" s="20">
        <v>60.3</v>
      </c>
      <c r="K289" s="20">
        <v>56.25</v>
      </c>
      <c r="L289" s="20"/>
      <c r="M289" s="20"/>
      <c r="N289" s="20"/>
      <c r="O289" s="20"/>
      <c r="P289" s="20"/>
      <c r="Q289" s="20"/>
      <c r="R289" s="21"/>
      <c r="S289" s="21"/>
      <c r="T289" s="21"/>
      <c r="U289" s="21"/>
      <c r="V289" s="21"/>
      <c r="W289" s="21"/>
      <c r="X289" s="21"/>
      <c r="Y289" s="21"/>
    </row>
    <row r="290" spans="1:25" x14ac:dyDescent="0.25">
      <c r="A290" s="16">
        <v>263</v>
      </c>
      <c r="B290" s="16"/>
      <c r="C290" s="17">
        <v>0.5</v>
      </c>
      <c r="D290" s="17">
        <v>0.1</v>
      </c>
      <c r="E290" s="18">
        <f t="shared" si="26"/>
        <v>0.4</v>
      </c>
      <c r="F290" s="26">
        <v>20</v>
      </c>
      <c r="G290" s="20">
        <v>61.65</v>
      </c>
      <c r="H290" s="20">
        <v>26.3</v>
      </c>
      <c r="I290" s="20">
        <v>60.5</v>
      </c>
      <c r="J290" s="20">
        <v>60.4</v>
      </c>
      <c r="K290" s="20">
        <v>56.400000000000006</v>
      </c>
      <c r="L290" s="20"/>
      <c r="M290" s="20"/>
      <c r="N290" s="20"/>
      <c r="O290" s="20"/>
      <c r="P290" s="20"/>
      <c r="Q290" s="20"/>
      <c r="R290" s="21"/>
      <c r="S290" s="21"/>
      <c r="T290" s="21"/>
      <c r="U290" s="21"/>
      <c r="V290" s="21"/>
      <c r="W290" s="21"/>
      <c r="X290" s="21"/>
      <c r="Y290" s="21"/>
    </row>
    <row r="291" spans="1:25" x14ac:dyDescent="0.25">
      <c r="A291" s="16">
        <v>264</v>
      </c>
      <c r="B291" s="16"/>
      <c r="C291" s="17">
        <v>0.5</v>
      </c>
      <c r="D291" s="17">
        <v>0.1</v>
      </c>
      <c r="E291" s="18">
        <f t="shared" si="26"/>
        <v>0.4</v>
      </c>
      <c r="F291" s="26">
        <v>20</v>
      </c>
      <c r="G291" s="20">
        <v>61.55</v>
      </c>
      <c r="H291" s="20">
        <v>26.3</v>
      </c>
      <c r="I291" s="20">
        <v>60.5</v>
      </c>
      <c r="J291" s="20">
        <v>60.4</v>
      </c>
      <c r="K291" s="20">
        <v>56.35</v>
      </c>
      <c r="L291" s="20"/>
      <c r="M291" s="20"/>
      <c r="N291" s="20"/>
      <c r="O291" s="20"/>
      <c r="P291" s="20"/>
      <c r="Q291" s="20"/>
      <c r="R291" s="21"/>
      <c r="S291" s="21"/>
      <c r="T291" s="21"/>
      <c r="U291" s="21"/>
      <c r="V291" s="21"/>
      <c r="W291" s="21"/>
      <c r="X291" s="21"/>
      <c r="Y291" s="21"/>
    </row>
    <row r="292" spans="1:25" x14ac:dyDescent="0.25">
      <c r="A292" s="16">
        <v>265</v>
      </c>
      <c r="B292" s="16"/>
      <c r="C292" s="17">
        <v>0.5</v>
      </c>
      <c r="D292" s="17">
        <v>0.1</v>
      </c>
      <c r="E292" s="18">
        <f t="shared" si="26"/>
        <v>0.4</v>
      </c>
      <c r="F292" s="26">
        <v>20</v>
      </c>
      <c r="G292" s="20">
        <v>61.7</v>
      </c>
      <c r="H292" s="20">
        <v>26.4</v>
      </c>
      <c r="I292" s="20">
        <v>60.6</v>
      </c>
      <c r="J292" s="20">
        <v>60.4</v>
      </c>
      <c r="K292" s="20">
        <v>56.349999999999994</v>
      </c>
      <c r="L292" s="20"/>
      <c r="M292" s="20"/>
      <c r="N292" s="20"/>
      <c r="O292" s="20"/>
      <c r="P292" s="20"/>
      <c r="Q292" s="20"/>
      <c r="R292" s="21"/>
      <c r="S292" s="21"/>
      <c r="T292" s="21"/>
      <c r="U292" s="21"/>
      <c r="V292" s="21"/>
      <c r="W292" s="21"/>
      <c r="X292" s="21"/>
      <c r="Y292" s="21"/>
    </row>
    <row r="293" spans="1:25" x14ac:dyDescent="0.25">
      <c r="A293" s="16">
        <v>266</v>
      </c>
      <c r="B293" s="16"/>
      <c r="C293" s="17">
        <v>0.5</v>
      </c>
      <c r="D293" s="17">
        <v>0.1</v>
      </c>
      <c r="E293" s="18">
        <f t="shared" si="26"/>
        <v>0.4</v>
      </c>
      <c r="F293" s="26">
        <v>20</v>
      </c>
      <c r="G293" s="20">
        <v>61.599999999999994</v>
      </c>
      <c r="H293" s="20">
        <v>26.5</v>
      </c>
      <c r="I293" s="20">
        <v>60.7</v>
      </c>
      <c r="J293" s="20">
        <v>60.5</v>
      </c>
      <c r="K293" s="20">
        <v>56.65</v>
      </c>
      <c r="L293" s="20"/>
      <c r="M293" s="20"/>
      <c r="N293" s="20"/>
      <c r="O293" s="20"/>
      <c r="P293" s="20"/>
      <c r="Q293" s="20"/>
      <c r="R293" s="21"/>
      <c r="S293" s="21"/>
      <c r="T293" s="21"/>
      <c r="U293" s="21"/>
      <c r="V293" s="21"/>
      <c r="W293" s="21"/>
      <c r="X293" s="21"/>
      <c r="Y293" s="21"/>
    </row>
    <row r="294" spans="1:25" x14ac:dyDescent="0.25">
      <c r="A294" s="16">
        <v>267</v>
      </c>
      <c r="B294" s="16"/>
      <c r="C294" s="17">
        <v>0.5</v>
      </c>
      <c r="D294" s="17">
        <v>0.1</v>
      </c>
      <c r="E294" s="18">
        <f t="shared" si="26"/>
        <v>0.4</v>
      </c>
      <c r="F294" s="26">
        <v>20</v>
      </c>
      <c r="G294" s="20">
        <v>61.85</v>
      </c>
      <c r="H294" s="20">
        <v>26.6</v>
      </c>
      <c r="I294" s="20">
        <v>60.8</v>
      </c>
      <c r="J294" s="20">
        <v>60.6</v>
      </c>
      <c r="K294" s="20">
        <v>56.55</v>
      </c>
      <c r="L294" s="20"/>
      <c r="M294" s="20"/>
      <c r="N294" s="20"/>
      <c r="O294" s="20"/>
      <c r="P294" s="20"/>
      <c r="Q294" s="20"/>
      <c r="R294" s="21"/>
      <c r="S294" s="21"/>
      <c r="T294" s="21"/>
      <c r="U294" s="21"/>
      <c r="V294" s="21"/>
      <c r="W294" s="21"/>
      <c r="X294" s="21"/>
      <c r="Y294" s="21"/>
    </row>
    <row r="295" spans="1:25" x14ac:dyDescent="0.25">
      <c r="A295" s="16">
        <v>268</v>
      </c>
      <c r="B295" s="16"/>
      <c r="C295" s="17">
        <v>0.5</v>
      </c>
      <c r="D295" s="17">
        <v>0.1</v>
      </c>
      <c r="E295" s="18">
        <f t="shared" si="26"/>
        <v>0.4</v>
      </c>
      <c r="F295" s="26">
        <v>20</v>
      </c>
      <c r="G295" s="20">
        <v>61.900000000000006</v>
      </c>
      <c r="H295" s="20">
        <v>26.6</v>
      </c>
      <c r="I295" s="20">
        <v>60.8</v>
      </c>
      <c r="J295" s="20">
        <v>60.6</v>
      </c>
      <c r="K295" s="20">
        <v>56.45</v>
      </c>
      <c r="L295" s="20"/>
      <c r="M295" s="20"/>
      <c r="N295" s="20"/>
      <c r="O295" s="20"/>
      <c r="P295" s="20"/>
      <c r="Q295" s="20"/>
      <c r="R295" s="21"/>
      <c r="S295" s="21"/>
      <c r="T295" s="21"/>
      <c r="U295" s="21"/>
      <c r="V295" s="21"/>
      <c r="W295" s="21"/>
      <c r="X295" s="21"/>
      <c r="Y295" s="21"/>
    </row>
    <row r="296" spans="1:25" x14ac:dyDescent="0.25">
      <c r="A296" s="16">
        <v>269</v>
      </c>
      <c r="B296" s="16"/>
      <c r="C296" s="17">
        <v>0.5</v>
      </c>
      <c r="D296" s="17">
        <v>0.1</v>
      </c>
      <c r="E296" s="18">
        <f t="shared" si="26"/>
        <v>0.4</v>
      </c>
      <c r="F296" s="26">
        <v>20</v>
      </c>
      <c r="G296" s="20">
        <v>61.9</v>
      </c>
      <c r="H296" s="20">
        <v>26.7</v>
      </c>
      <c r="I296" s="20">
        <v>60.9</v>
      </c>
      <c r="J296" s="20">
        <v>60.6</v>
      </c>
      <c r="K296" s="20">
        <v>56.55</v>
      </c>
      <c r="L296" s="20"/>
      <c r="M296" s="20"/>
      <c r="N296" s="20"/>
      <c r="O296" s="20"/>
      <c r="P296" s="20"/>
      <c r="Q296" s="20"/>
      <c r="R296" s="21"/>
      <c r="S296" s="21"/>
      <c r="T296" s="21"/>
      <c r="U296" s="21"/>
      <c r="V296" s="21"/>
      <c r="W296" s="21"/>
      <c r="X296" s="21"/>
      <c r="Y296" s="21"/>
    </row>
    <row r="297" spans="1:25" x14ac:dyDescent="0.25">
      <c r="A297" s="16">
        <v>270</v>
      </c>
      <c r="B297" s="16"/>
      <c r="C297" s="17">
        <v>0.5</v>
      </c>
      <c r="D297" s="17">
        <v>0.1</v>
      </c>
      <c r="E297" s="18">
        <f t="shared" si="26"/>
        <v>0.4</v>
      </c>
      <c r="F297" s="26">
        <v>20</v>
      </c>
      <c r="G297" s="20">
        <v>61.900000000000006</v>
      </c>
      <c r="H297" s="20">
        <v>26.8</v>
      </c>
      <c r="I297" s="20">
        <v>61</v>
      </c>
      <c r="J297" s="20">
        <v>60.6</v>
      </c>
      <c r="K297" s="20">
        <v>56.55</v>
      </c>
      <c r="L297" s="20"/>
      <c r="M297" s="20"/>
      <c r="N297" s="20"/>
      <c r="O297" s="20"/>
      <c r="P297" s="20"/>
      <c r="Q297" s="20"/>
      <c r="R297" s="21"/>
      <c r="S297" s="21"/>
      <c r="T297" s="21"/>
      <c r="U297" s="21"/>
      <c r="V297" s="21"/>
      <c r="W297" s="21"/>
      <c r="X297" s="21"/>
      <c r="Y297" s="21"/>
    </row>
    <row r="298" spans="1:25" x14ac:dyDescent="0.25">
      <c r="A298" s="16"/>
      <c r="B298" s="16"/>
      <c r="C298" s="22"/>
      <c r="D298" s="22"/>
      <c r="E298" s="22"/>
      <c r="F298" s="19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21"/>
      <c r="S298" s="21"/>
      <c r="T298" s="21"/>
      <c r="U298" s="21"/>
      <c r="V298" s="21"/>
      <c r="W298" s="21"/>
      <c r="X298" s="21"/>
      <c r="Y298" s="21"/>
    </row>
    <row r="299" spans="1:25" x14ac:dyDescent="0.25">
      <c r="A299" s="16">
        <v>271</v>
      </c>
      <c r="B299" s="16" t="s">
        <v>74</v>
      </c>
      <c r="C299" s="17">
        <v>0.45</v>
      </c>
      <c r="D299" s="17">
        <v>0.1</v>
      </c>
      <c r="E299" s="18">
        <f t="shared" ref="E299:E308" si="27">C299-D299</f>
        <v>0.35</v>
      </c>
      <c r="F299" s="19">
        <v>15</v>
      </c>
      <c r="G299" s="20">
        <v>62.5</v>
      </c>
      <c r="H299" s="20">
        <v>27.3</v>
      </c>
      <c r="I299" s="20">
        <v>61.1</v>
      </c>
      <c r="J299" s="20">
        <v>60.8</v>
      </c>
      <c r="K299" s="20">
        <v>56.9</v>
      </c>
      <c r="L299" s="20"/>
      <c r="M299" s="20"/>
      <c r="N299" s="20"/>
      <c r="O299" s="20"/>
      <c r="P299" s="20"/>
      <c r="Q299" s="20"/>
      <c r="R299" s="21"/>
      <c r="S299" s="21"/>
      <c r="T299" s="21"/>
      <c r="U299" s="21"/>
      <c r="V299" s="21"/>
      <c r="W299" s="21"/>
      <c r="X299" s="21"/>
      <c r="Y299" s="21"/>
    </row>
    <row r="300" spans="1:25" x14ac:dyDescent="0.25">
      <c r="A300" s="16">
        <v>272</v>
      </c>
      <c r="B300" s="16"/>
      <c r="C300" s="17">
        <v>0.45</v>
      </c>
      <c r="D300" s="17">
        <v>0.1</v>
      </c>
      <c r="E300" s="18">
        <f t="shared" si="27"/>
        <v>0.35</v>
      </c>
      <c r="F300" s="19">
        <v>15</v>
      </c>
      <c r="G300" s="20">
        <v>63.099999999999994</v>
      </c>
      <c r="H300" s="20">
        <v>27.2</v>
      </c>
      <c r="I300" s="20">
        <v>61.4</v>
      </c>
      <c r="J300" s="20">
        <v>61</v>
      </c>
      <c r="K300" s="20">
        <v>56.75</v>
      </c>
      <c r="L300" s="20"/>
      <c r="M300" s="20"/>
      <c r="N300" s="20"/>
      <c r="O300" s="20"/>
      <c r="P300" s="20"/>
      <c r="Q300" s="20"/>
      <c r="R300" s="21"/>
      <c r="S300" s="21"/>
      <c r="T300" s="21"/>
      <c r="U300" s="21"/>
      <c r="V300" s="21"/>
      <c r="W300" s="21"/>
      <c r="X300" s="21"/>
      <c r="Y300" s="21"/>
    </row>
    <row r="301" spans="1:25" x14ac:dyDescent="0.25">
      <c r="A301" s="16">
        <v>273</v>
      </c>
      <c r="B301" s="16"/>
      <c r="C301" s="17">
        <v>0.45</v>
      </c>
      <c r="D301" s="17">
        <v>0.1</v>
      </c>
      <c r="E301" s="18">
        <f t="shared" si="27"/>
        <v>0.35</v>
      </c>
      <c r="F301" s="19">
        <v>15</v>
      </c>
      <c r="G301" s="20">
        <v>62.8</v>
      </c>
      <c r="H301" s="20">
        <v>27.2</v>
      </c>
      <c r="I301" s="20">
        <v>61.3</v>
      </c>
      <c r="J301" s="20">
        <v>61.1</v>
      </c>
      <c r="K301" s="20">
        <v>56.9</v>
      </c>
      <c r="L301" s="20"/>
      <c r="M301" s="20"/>
      <c r="N301" s="20"/>
      <c r="O301" s="20"/>
      <c r="P301" s="20"/>
      <c r="Q301" s="20"/>
      <c r="R301" s="21"/>
      <c r="S301" s="21"/>
      <c r="T301" s="21"/>
      <c r="U301" s="21"/>
      <c r="V301" s="21"/>
      <c r="W301" s="21"/>
      <c r="X301" s="21"/>
      <c r="Y301" s="21"/>
    </row>
    <row r="302" spans="1:25" x14ac:dyDescent="0.25">
      <c r="A302" s="16">
        <v>274</v>
      </c>
      <c r="B302" s="16"/>
      <c r="C302" s="17">
        <v>0.45</v>
      </c>
      <c r="D302" s="17">
        <v>0.1</v>
      </c>
      <c r="E302" s="18">
        <f t="shared" si="27"/>
        <v>0.35</v>
      </c>
      <c r="F302" s="19">
        <v>15</v>
      </c>
      <c r="G302" s="20">
        <v>63.099999999999994</v>
      </c>
      <c r="H302" s="20">
        <v>27.3</v>
      </c>
      <c r="I302" s="20">
        <v>61.6</v>
      </c>
      <c r="J302" s="20">
        <v>61.2</v>
      </c>
      <c r="K302" s="20">
        <v>56.75</v>
      </c>
      <c r="L302" s="20"/>
      <c r="M302" s="20"/>
      <c r="N302" s="20"/>
      <c r="O302" s="20"/>
      <c r="P302" s="20"/>
      <c r="Q302" s="20"/>
      <c r="R302" s="21"/>
      <c r="S302" s="21"/>
      <c r="T302" s="21"/>
      <c r="U302" s="21"/>
      <c r="V302" s="21"/>
      <c r="W302" s="21"/>
      <c r="X302" s="21"/>
      <c r="Y302" s="21"/>
    </row>
    <row r="303" spans="1:25" x14ac:dyDescent="0.25">
      <c r="A303" s="16">
        <v>275</v>
      </c>
      <c r="B303" s="16"/>
      <c r="C303" s="17">
        <v>0.45</v>
      </c>
      <c r="D303" s="17">
        <v>0.1</v>
      </c>
      <c r="E303" s="18">
        <f t="shared" si="27"/>
        <v>0.35</v>
      </c>
      <c r="F303" s="19">
        <v>15</v>
      </c>
      <c r="G303" s="20">
        <v>63.05</v>
      </c>
      <c r="H303" s="20">
        <v>27.299999999999997</v>
      </c>
      <c r="I303" s="20">
        <v>61.5</v>
      </c>
      <c r="J303" s="20">
        <v>61.1</v>
      </c>
      <c r="K303" s="20">
        <v>57.1</v>
      </c>
      <c r="L303" s="20"/>
      <c r="M303" s="20"/>
      <c r="N303" s="20"/>
      <c r="O303" s="20"/>
      <c r="P303" s="20"/>
      <c r="Q303" s="20"/>
      <c r="R303" s="21"/>
      <c r="S303" s="21"/>
      <c r="T303" s="21"/>
      <c r="U303" s="21"/>
      <c r="V303" s="21"/>
      <c r="W303" s="21"/>
      <c r="X303" s="21"/>
      <c r="Y303" s="21"/>
    </row>
    <row r="304" spans="1:25" x14ac:dyDescent="0.25">
      <c r="A304" s="16">
        <v>276</v>
      </c>
      <c r="B304" s="16"/>
      <c r="C304" s="17">
        <v>0.45</v>
      </c>
      <c r="D304" s="17">
        <v>0.1</v>
      </c>
      <c r="E304" s="18">
        <f t="shared" si="27"/>
        <v>0.35</v>
      </c>
      <c r="F304" s="19">
        <v>15</v>
      </c>
      <c r="G304" s="20">
        <v>63.05</v>
      </c>
      <c r="H304" s="20">
        <v>27.299999999999997</v>
      </c>
      <c r="I304" s="20">
        <v>61.3</v>
      </c>
      <c r="J304" s="20">
        <v>61.1</v>
      </c>
      <c r="K304" s="20">
        <v>56.95</v>
      </c>
      <c r="L304" s="20"/>
      <c r="M304" s="20"/>
      <c r="N304" s="20"/>
      <c r="O304" s="20"/>
      <c r="P304" s="20"/>
      <c r="Q304" s="20"/>
      <c r="R304" s="21"/>
      <c r="S304" s="21"/>
      <c r="T304" s="21"/>
      <c r="U304" s="21"/>
      <c r="V304" s="21"/>
      <c r="W304" s="21"/>
      <c r="X304" s="21"/>
      <c r="Y304" s="21"/>
    </row>
    <row r="305" spans="1:25" x14ac:dyDescent="0.25">
      <c r="A305" s="16">
        <v>277</v>
      </c>
      <c r="B305" s="16"/>
      <c r="C305" s="17">
        <v>0.45</v>
      </c>
      <c r="D305" s="17">
        <v>0.1</v>
      </c>
      <c r="E305" s="18">
        <f t="shared" si="27"/>
        <v>0.35</v>
      </c>
      <c r="F305" s="19">
        <v>15</v>
      </c>
      <c r="G305" s="20">
        <v>63.15</v>
      </c>
      <c r="H305" s="20">
        <v>27.3</v>
      </c>
      <c r="I305" s="20">
        <v>61.2</v>
      </c>
      <c r="J305" s="20">
        <v>61</v>
      </c>
      <c r="K305" s="20">
        <v>56.849999999999994</v>
      </c>
      <c r="L305" s="20"/>
      <c r="M305" s="20"/>
      <c r="N305" s="20"/>
      <c r="O305" s="20"/>
      <c r="P305" s="20"/>
      <c r="Q305" s="20"/>
      <c r="R305" s="21"/>
      <c r="S305" s="21"/>
      <c r="T305" s="21"/>
      <c r="U305" s="21"/>
      <c r="V305" s="21"/>
      <c r="W305" s="21"/>
      <c r="X305" s="21"/>
      <c r="Y305" s="21"/>
    </row>
    <row r="306" spans="1:25" x14ac:dyDescent="0.25">
      <c r="A306" s="16">
        <v>278</v>
      </c>
      <c r="B306" s="16"/>
      <c r="C306" s="17">
        <v>0.45</v>
      </c>
      <c r="D306" s="17">
        <v>0.1</v>
      </c>
      <c r="E306" s="18">
        <f t="shared" si="27"/>
        <v>0.35</v>
      </c>
      <c r="F306" s="19">
        <v>15</v>
      </c>
      <c r="G306" s="20">
        <v>63.099999999999994</v>
      </c>
      <c r="H306" s="20">
        <v>27.4</v>
      </c>
      <c r="I306" s="20">
        <v>61.5</v>
      </c>
      <c r="J306" s="20">
        <v>61.1</v>
      </c>
      <c r="K306" s="20">
        <v>56.85</v>
      </c>
      <c r="L306" s="20"/>
      <c r="M306" s="20"/>
      <c r="N306" s="20"/>
      <c r="O306" s="20"/>
      <c r="P306" s="20"/>
      <c r="Q306" s="20"/>
      <c r="R306" s="21"/>
      <c r="S306" s="21"/>
      <c r="T306" s="21"/>
      <c r="U306" s="21"/>
      <c r="V306" s="21"/>
      <c r="W306" s="21"/>
      <c r="X306" s="21"/>
      <c r="Y306" s="21"/>
    </row>
    <row r="307" spans="1:25" x14ac:dyDescent="0.25">
      <c r="A307" s="16">
        <v>279</v>
      </c>
      <c r="B307" s="16"/>
      <c r="C307" s="17">
        <v>0.45</v>
      </c>
      <c r="D307" s="17">
        <v>0.1</v>
      </c>
      <c r="E307" s="18">
        <f t="shared" si="27"/>
        <v>0.35</v>
      </c>
      <c r="F307" s="19">
        <v>15</v>
      </c>
      <c r="G307" s="20">
        <v>63.25</v>
      </c>
      <c r="H307" s="20">
        <v>27.5</v>
      </c>
      <c r="I307" s="20">
        <v>61.4</v>
      </c>
      <c r="J307" s="20">
        <v>61</v>
      </c>
      <c r="K307" s="20">
        <v>56.85</v>
      </c>
      <c r="L307" s="20"/>
      <c r="M307" s="20"/>
      <c r="N307" s="20"/>
      <c r="O307" s="20"/>
      <c r="P307" s="20"/>
      <c r="Q307" s="20"/>
      <c r="R307" s="21"/>
      <c r="S307" s="21"/>
      <c r="T307" s="21"/>
      <c r="U307" s="21"/>
      <c r="V307" s="21"/>
      <c r="W307" s="21"/>
      <c r="X307" s="21"/>
      <c r="Y307" s="21"/>
    </row>
    <row r="308" spans="1:25" x14ac:dyDescent="0.25">
      <c r="A308" s="16">
        <v>280</v>
      </c>
      <c r="B308" s="16"/>
      <c r="C308" s="17">
        <v>0.45</v>
      </c>
      <c r="D308" s="17">
        <v>0.1</v>
      </c>
      <c r="E308" s="18">
        <f t="shared" si="27"/>
        <v>0.35</v>
      </c>
      <c r="F308" s="19">
        <v>15</v>
      </c>
      <c r="G308" s="20">
        <v>62.5</v>
      </c>
      <c r="H308" s="20">
        <v>27.4</v>
      </c>
      <c r="I308" s="20">
        <v>60.9</v>
      </c>
      <c r="J308" s="20">
        <v>60.6</v>
      </c>
      <c r="K308" s="20">
        <v>56.75</v>
      </c>
      <c r="L308" s="20"/>
      <c r="M308" s="20"/>
      <c r="N308" s="20"/>
      <c r="O308" s="20"/>
      <c r="P308" s="20"/>
      <c r="Q308" s="20"/>
      <c r="R308" s="21"/>
      <c r="S308" s="21"/>
      <c r="T308" s="21"/>
      <c r="U308" s="21"/>
      <c r="V308" s="21"/>
      <c r="W308" s="21"/>
      <c r="X308" s="21"/>
      <c r="Y308" s="21"/>
    </row>
    <row r="309" spans="1:25" x14ac:dyDescent="0.25">
      <c r="A309" s="16"/>
      <c r="B309" s="16"/>
      <c r="C309" s="22"/>
      <c r="D309" s="22"/>
      <c r="E309" s="22"/>
      <c r="F309" s="19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21"/>
      <c r="S309" s="21"/>
      <c r="T309" s="21"/>
      <c r="U309" s="21"/>
      <c r="V309" s="21"/>
      <c r="W309" s="21"/>
      <c r="X309" s="21"/>
      <c r="Y309" s="21"/>
    </row>
    <row r="310" spans="1:25" x14ac:dyDescent="0.25">
      <c r="A310" s="16">
        <v>281</v>
      </c>
      <c r="B310" s="16" t="s">
        <v>75</v>
      </c>
      <c r="C310" s="17">
        <v>0.27500000000000002</v>
      </c>
      <c r="D310" s="17">
        <v>0.09</v>
      </c>
      <c r="E310" s="18">
        <f t="shared" ref="E310:E319" si="28">C310-D310</f>
        <v>0.18500000000000003</v>
      </c>
      <c r="F310" s="19">
        <v>10</v>
      </c>
      <c r="G310" s="20">
        <v>62</v>
      </c>
      <c r="H310" s="20">
        <v>27.6</v>
      </c>
      <c r="I310" s="20">
        <v>60.7</v>
      </c>
      <c r="J310" s="20">
        <v>60.2</v>
      </c>
      <c r="K310" s="20">
        <v>56.55</v>
      </c>
      <c r="L310" s="20"/>
      <c r="M310" s="20"/>
      <c r="N310" s="20"/>
      <c r="O310" s="20"/>
      <c r="P310" s="20"/>
      <c r="Q310" s="20"/>
      <c r="R310" s="21"/>
      <c r="S310" s="21"/>
      <c r="T310" s="21"/>
      <c r="U310" s="21"/>
      <c r="V310" s="21"/>
      <c r="W310" s="21"/>
      <c r="X310" s="21"/>
      <c r="Y310" s="21"/>
    </row>
    <row r="311" spans="1:25" x14ac:dyDescent="0.25">
      <c r="A311" s="16">
        <v>282</v>
      </c>
      <c r="B311" s="16"/>
      <c r="C311" s="17">
        <v>0.27500000000000002</v>
      </c>
      <c r="D311" s="17">
        <v>0.09</v>
      </c>
      <c r="E311" s="18">
        <f t="shared" si="28"/>
        <v>0.18500000000000003</v>
      </c>
      <c r="F311" s="19">
        <v>10</v>
      </c>
      <c r="G311" s="20">
        <v>62.1</v>
      </c>
      <c r="H311" s="20">
        <v>28</v>
      </c>
      <c r="I311" s="20">
        <v>60.7</v>
      </c>
      <c r="J311" s="20">
        <v>60.2</v>
      </c>
      <c r="K311" s="20">
        <v>56.650000000000006</v>
      </c>
      <c r="L311" s="20"/>
      <c r="M311" s="20"/>
      <c r="N311" s="20"/>
      <c r="O311" s="20"/>
      <c r="P311" s="20"/>
      <c r="Q311" s="20"/>
      <c r="R311" s="21"/>
      <c r="S311" s="21"/>
      <c r="T311" s="21"/>
      <c r="U311" s="21"/>
      <c r="V311" s="21"/>
      <c r="W311" s="21"/>
      <c r="X311" s="21"/>
      <c r="Y311" s="21"/>
    </row>
    <row r="312" spans="1:25" x14ac:dyDescent="0.25">
      <c r="A312" s="16">
        <v>283</v>
      </c>
      <c r="B312" s="16"/>
      <c r="C312" s="17">
        <v>0.27500000000000002</v>
      </c>
      <c r="D312" s="17">
        <v>0.09</v>
      </c>
      <c r="E312" s="18">
        <f t="shared" si="28"/>
        <v>0.18500000000000003</v>
      </c>
      <c r="F312" s="19">
        <v>10</v>
      </c>
      <c r="G312" s="20">
        <v>62.3</v>
      </c>
      <c r="H312" s="20">
        <v>28.2</v>
      </c>
      <c r="I312" s="20">
        <v>61</v>
      </c>
      <c r="J312" s="20">
        <v>60.5</v>
      </c>
      <c r="K312" s="20">
        <v>56.8</v>
      </c>
      <c r="L312" s="20"/>
      <c r="M312" s="20"/>
      <c r="N312" s="20"/>
      <c r="O312" s="20"/>
      <c r="P312" s="20"/>
      <c r="Q312" s="20"/>
      <c r="R312" s="21"/>
      <c r="S312" s="21"/>
      <c r="T312" s="21"/>
      <c r="U312" s="21"/>
      <c r="V312" s="21"/>
      <c r="W312" s="21"/>
      <c r="X312" s="21"/>
      <c r="Y312" s="21"/>
    </row>
    <row r="313" spans="1:25" x14ac:dyDescent="0.25">
      <c r="A313" s="16">
        <v>284</v>
      </c>
      <c r="B313" s="16"/>
      <c r="C313" s="17">
        <v>0.27500000000000002</v>
      </c>
      <c r="D313" s="17">
        <v>0.09</v>
      </c>
      <c r="E313" s="18">
        <f t="shared" si="28"/>
        <v>0.18500000000000003</v>
      </c>
      <c r="F313" s="19">
        <v>10</v>
      </c>
      <c r="G313" s="20">
        <v>63.35</v>
      </c>
      <c r="H313" s="20">
        <v>27.8</v>
      </c>
      <c r="I313" s="20">
        <v>61.7</v>
      </c>
      <c r="J313" s="20">
        <v>61.2</v>
      </c>
      <c r="K313" s="20">
        <v>56.95</v>
      </c>
      <c r="L313" s="20"/>
      <c r="M313" s="20"/>
      <c r="N313" s="20"/>
      <c r="O313" s="20"/>
      <c r="P313" s="20"/>
      <c r="Q313" s="20"/>
      <c r="R313" s="21"/>
      <c r="S313" s="21"/>
      <c r="T313" s="21"/>
      <c r="U313" s="21"/>
      <c r="V313" s="21"/>
      <c r="W313" s="21"/>
      <c r="X313" s="21"/>
      <c r="Y313" s="21"/>
    </row>
    <row r="314" spans="1:25" x14ac:dyDescent="0.25">
      <c r="A314" s="16">
        <v>285</v>
      </c>
      <c r="B314" s="16"/>
      <c r="C314" s="17">
        <v>0.27500000000000002</v>
      </c>
      <c r="D314" s="17">
        <v>0.09</v>
      </c>
      <c r="E314" s="18">
        <f t="shared" si="28"/>
        <v>0.18500000000000003</v>
      </c>
      <c r="F314" s="19">
        <v>10</v>
      </c>
      <c r="G314" s="20">
        <v>63.5</v>
      </c>
      <c r="H314" s="20">
        <v>27.9</v>
      </c>
      <c r="I314" s="20">
        <v>61.7</v>
      </c>
      <c r="J314" s="20">
        <v>61.2</v>
      </c>
      <c r="K314" s="20">
        <v>56.75</v>
      </c>
      <c r="L314" s="20"/>
      <c r="M314" s="20"/>
      <c r="N314" s="20"/>
      <c r="O314" s="20"/>
      <c r="P314" s="20"/>
      <c r="Q314" s="20"/>
      <c r="R314" s="21"/>
      <c r="S314" s="21"/>
      <c r="T314" s="21"/>
      <c r="U314" s="21"/>
      <c r="V314" s="21"/>
      <c r="W314" s="21"/>
      <c r="X314" s="21"/>
      <c r="Y314" s="21"/>
    </row>
    <row r="315" spans="1:25" x14ac:dyDescent="0.25">
      <c r="A315" s="16">
        <v>286</v>
      </c>
      <c r="B315" s="16"/>
      <c r="C315" s="17">
        <v>0.27500000000000002</v>
      </c>
      <c r="D315" s="17">
        <v>0.09</v>
      </c>
      <c r="E315" s="18">
        <f t="shared" si="28"/>
        <v>0.18500000000000003</v>
      </c>
      <c r="F315" s="19">
        <v>10</v>
      </c>
      <c r="G315" s="20">
        <v>62.4</v>
      </c>
      <c r="H315" s="20">
        <v>28</v>
      </c>
      <c r="I315" s="20">
        <v>61</v>
      </c>
      <c r="J315" s="20">
        <v>60.3</v>
      </c>
      <c r="K315" s="20">
        <v>56.9</v>
      </c>
      <c r="L315" s="20"/>
      <c r="M315" s="20"/>
      <c r="N315" s="20"/>
      <c r="O315" s="20"/>
      <c r="P315" s="20"/>
      <c r="Q315" s="20"/>
      <c r="R315" s="21"/>
      <c r="S315" s="21"/>
      <c r="T315" s="21"/>
      <c r="U315" s="21"/>
      <c r="V315" s="21"/>
      <c r="W315" s="21"/>
      <c r="X315" s="21"/>
      <c r="Y315" s="21"/>
    </row>
    <row r="316" spans="1:25" x14ac:dyDescent="0.25">
      <c r="A316" s="16">
        <v>287</v>
      </c>
      <c r="B316" s="16"/>
      <c r="C316" s="17">
        <v>0.27500000000000002</v>
      </c>
      <c r="D316" s="17">
        <v>0.09</v>
      </c>
      <c r="E316" s="18">
        <f t="shared" si="28"/>
        <v>0.18500000000000003</v>
      </c>
      <c r="F316" s="19">
        <v>10</v>
      </c>
      <c r="G316" s="20">
        <v>63.55</v>
      </c>
      <c r="H316" s="20">
        <v>27.8</v>
      </c>
      <c r="I316" s="20">
        <v>61.4</v>
      </c>
      <c r="J316" s="20">
        <v>61</v>
      </c>
      <c r="K316" s="20">
        <v>56.650000000000006</v>
      </c>
      <c r="L316" s="20"/>
      <c r="M316" s="20"/>
      <c r="N316" s="20"/>
      <c r="O316" s="20"/>
      <c r="P316" s="20"/>
      <c r="Q316" s="20"/>
      <c r="R316" s="21"/>
      <c r="S316" s="21"/>
      <c r="T316" s="21"/>
      <c r="U316" s="21"/>
      <c r="V316" s="21"/>
      <c r="W316" s="21"/>
      <c r="X316" s="21"/>
      <c r="Y316" s="21"/>
    </row>
    <row r="317" spans="1:25" x14ac:dyDescent="0.25">
      <c r="A317" s="16">
        <v>288</v>
      </c>
      <c r="B317" s="16"/>
      <c r="C317" s="17">
        <v>0.27500000000000002</v>
      </c>
      <c r="D317" s="17">
        <v>0.09</v>
      </c>
      <c r="E317" s="18">
        <f t="shared" si="28"/>
        <v>0.18500000000000003</v>
      </c>
      <c r="F317" s="19">
        <v>10</v>
      </c>
      <c r="G317" s="20">
        <v>63.400000000000006</v>
      </c>
      <c r="H317" s="20">
        <v>27.8</v>
      </c>
      <c r="I317" s="20">
        <v>61.4</v>
      </c>
      <c r="J317" s="20">
        <v>60.8</v>
      </c>
      <c r="K317" s="20">
        <v>56.650000000000006</v>
      </c>
      <c r="L317" s="20"/>
      <c r="M317" s="20"/>
      <c r="N317" s="20"/>
      <c r="O317" s="20"/>
      <c r="P317" s="20"/>
      <c r="Q317" s="20"/>
      <c r="R317" s="21"/>
      <c r="S317" s="21"/>
      <c r="T317" s="21"/>
      <c r="U317" s="21"/>
      <c r="V317" s="21"/>
      <c r="W317" s="21"/>
      <c r="X317" s="21"/>
      <c r="Y317" s="21"/>
    </row>
    <row r="318" spans="1:25" x14ac:dyDescent="0.25">
      <c r="A318" s="16">
        <v>289</v>
      </c>
      <c r="B318" s="16"/>
      <c r="C318" s="17">
        <v>0.27500000000000002</v>
      </c>
      <c r="D318" s="17">
        <v>0.09</v>
      </c>
      <c r="E318" s="18">
        <f t="shared" si="28"/>
        <v>0.18500000000000003</v>
      </c>
      <c r="F318" s="19">
        <v>10</v>
      </c>
      <c r="G318" s="20">
        <v>63.75</v>
      </c>
      <c r="H318" s="20">
        <v>27.8</v>
      </c>
      <c r="I318" s="20">
        <v>61.4</v>
      </c>
      <c r="J318" s="20">
        <v>60.9</v>
      </c>
      <c r="K318" s="20">
        <v>56.650000000000006</v>
      </c>
      <c r="L318" s="20"/>
      <c r="M318" s="20"/>
      <c r="N318" s="20"/>
      <c r="O318" s="20"/>
      <c r="P318" s="20"/>
      <c r="Q318" s="20"/>
      <c r="R318" s="21"/>
      <c r="S318" s="21"/>
      <c r="T318" s="21"/>
      <c r="U318" s="21"/>
      <c r="V318" s="21"/>
      <c r="W318" s="21"/>
      <c r="X318" s="21"/>
      <c r="Y318" s="21"/>
    </row>
    <row r="319" spans="1:25" x14ac:dyDescent="0.25">
      <c r="A319" s="16">
        <v>290</v>
      </c>
      <c r="B319" s="16"/>
      <c r="C319" s="17">
        <v>0.27500000000000002</v>
      </c>
      <c r="D319" s="17">
        <v>0.09</v>
      </c>
      <c r="E319" s="18">
        <f t="shared" si="28"/>
        <v>0.18500000000000003</v>
      </c>
      <c r="F319" s="19">
        <v>10</v>
      </c>
      <c r="G319" s="20">
        <v>63.45</v>
      </c>
      <c r="H319" s="20">
        <v>28.299999999999997</v>
      </c>
      <c r="I319" s="20">
        <v>61.4</v>
      </c>
      <c r="J319" s="20">
        <v>60.9</v>
      </c>
      <c r="K319" s="20">
        <v>56.8</v>
      </c>
      <c r="L319" s="20"/>
      <c r="M319" s="20"/>
      <c r="N319" s="20"/>
      <c r="O319" s="20"/>
      <c r="P319" s="20"/>
      <c r="Q319" s="20"/>
      <c r="R319" s="21"/>
      <c r="S319" s="21"/>
      <c r="T319" s="21"/>
      <c r="U319" s="21"/>
      <c r="V319" s="21"/>
      <c r="W319" s="21"/>
      <c r="X319" s="21"/>
      <c r="Y319" s="21"/>
    </row>
    <row r="320" spans="1:25" x14ac:dyDescent="0.25">
      <c r="A320" s="16"/>
      <c r="B320" s="16"/>
      <c r="C320" s="16"/>
      <c r="D320" s="16"/>
      <c r="E320" s="16"/>
      <c r="F320" s="19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21"/>
      <c r="S320" s="21"/>
      <c r="T320" s="21"/>
      <c r="U320" s="21"/>
      <c r="V320" s="21"/>
      <c r="W320" s="21"/>
      <c r="X320" s="21"/>
      <c r="Y320" s="21"/>
    </row>
    <row r="321" spans="1:25" x14ac:dyDescent="0.25">
      <c r="A321" s="16">
        <v>291</v>
      </c>
      <c r="B321" s="16" t="s">
        <v>76</v>
      </c>
      <c r="C321" s="17">
        <v>0.15</v>
      </c>
      <c r="D321" s="17">
        <v>7.4999999999999997E-2</v>
      </c>
      <c r="E321" s="18">
        <f t="shared" ref="E321:E330" si="29">C321-D321</f>
        <v>7.4999999999999997E-2</v>
      </c>
      <c r="F321" s="19">
        <v>5</v>
      </c>
      <c r="G321" s="20">
        <v>62.4</v>
      </c>
      <c r="H321" s="20">
        <v>28.5</v>
      </c>
      <c r="I321" s="20">
        <v>60.6</v>
      </c>
      <c r="J321" s="20">
        <v>60.3</v>
      </c>
      <c r="K321" s="20">
        <v>56.650000000000006</v>
      </c>
      <c r="L321" s="20"/>
      <c r="M321" s="20"/>
      <c r="N321" s="20"/>
      <c r="O321" s="20"/>
      <c r="P321" s="20"/>
      <c r="Q321" s="20"/>
      <c r="R321" s="21"/>
      <c r="S321" s="21"/>
      <c r="T321" s="21"/>
      <c r="U321" s="21"/>
      <c r="V321" s="21"/>
      <c r="W321" s="21"/>
      <c r="X321" s="21"/>
      <c r="Y321" s="21"/>
    </row>
    <row r="322" spans="1:25" x14ac:dyDescent="0.25">
      <c r="A322" s="16">
        <v>292</v>
      </c>
      <c r="B322" s="16"/>
      <c r="C322" s="17">
        <v>0.15</v>
      </c>
      <c r="D322" s="17">
        <v>7.4999999999999997E-2</v>
      </c>
      <c r="E322" s="18">
        <f t="shared" si="29"/>
        <v>7.4999999999999997E-2</v>
      </c>
      <c r="F322" s="19">
        <v>5</v>
      </c>
      <c r="G322" s="20">
        <v>62</v>
      </c>
      <c r="H322" s="20">
        <v>28.3</v>
      </c>
      <c r="I322" s="20">
        <v>60.6</v>
      </c>
      <c r="J322" s="20">
        <v>60.3</v>
      </c>
      <c r="K322" s="20">
        <v>56.650000000000006</v>
      </c>
      <c r="L322" s="20"/>
      <c r="M322" s="20"/>
      <c r="N322" s="20"/>
      <c r="O322" s="20"/>
      <c r="P322" s="20"/>
      <c r="Q322" s="20"/>
      <c r="R322" s="21"/>
      <c r="S322" s="21"/>
      <c r="T322" s="21"/>
      <c r="U322" s="21"/>
      <c r="V322" s="21"/>
      <c r="W322" s="21"/>
      <c r="X322" s="21"/>
      <c r="Y322" s="21"/>
    </row>
    <row r="323" spans="1:25" x14ac:dyDescent="0.25">
      <c r="A323" s="16">
        <v>293</v>
      </c>
      <c r="B323" s="16"/>
      <c r="C323" s="17">
        <v>0.15</v>
      </c>
      <c r="D323" s="17">
        <v>7.4999999999999997E-2</v>
      </c>
      <c r="E323" s="18">
        <f t="shared" si="29"/>
        <v>7.4999999999999997E-2</v>
      </c>
      <c r="F323" s="19">
        <v>5</v>
      </c>
      <c r="G323" s="20">
        <v>62.4</v>
      </c>
      <c r="H323" s="20">
        <v>28.3</v>
      </c>
      <c r="I323" s="20">
        <v>60.6</v>
      </c>
      <c r="J323" s="20">
        <v>60.3</v>
      </c>
      <c r="K323" s="20">
        <v>56.650000000000006</v>
      </c>
      <c r="L323" s="20"/>
      <c r="M323" s="20"/>
      <c r="N323" s="20"/>
      <c r="O323" s="20"/>
      <c r="P323" s="20"/>
      <c r="Q323" s="20"/>
      <c r="R323" s="21"/>
      <c r="S323" s="21"/>
      <c r="T323" s="21"/>
      <c r="U323" s="21"/>
      <c r="V323" s="21"/>
      <c r="W323" s="21"/>
      <c r="X323" s="21"/>
      <c r="Y323" s="21"/>
    </row>
    <row r="324" spans="1:25" x14ac:dyDescent="0.25">
      <c r="A324" s="16">
        <v>294</v>
      </c>
      <c r="B324" s="16"/>
      <c r="C324" s="17">
        <v>0.15</v>
      </c>
      <c r="D324" s="17">
        <v>7.4999999999999997E-2</v>
      </c>
      <c r="E324" s="18">
        <f t="shared" si="29"/>
        <v>7.4999999999999997E-2</v>
      </c>
      <c r="F324" s="19">
        <v>5</v>
      </c>
      <c r="G324" s="20">
        <v>62.7</v>
      </c>
      <c r="H324" s="20">
        <v>28.2</v>
      </c>
      <c r="I324" s="20">
        <v>61.1</v>
      </c>
      <c r="J324" s="20">
        <v>60.7</v>
      </c>
      <c r="K324" s="20">
        <v>56.650000000000006</v>
      </c>
      <c r="L324" s="20"/>
      <c r="M324" s="20"/>
      <c r="N324" s="20"/>
      <c r="O324" s="20"/>
      <c r="P324" s="20"/>
      <c r="Q324" s="20"/>
      <c r="R324" s="21"/>
      <c r="S324" s="21"/>
      <c r="T324" s="21"/>
      <c r="U324" s="21"/>
      <c r="V324" s="21"/>
      <c r="W324" s="21"/>
      <c r="X324" s="21"/>
      <c r="Y324" s="21"/>
    </row>
    <row r="325" spans="1:25" x14ac:dyDescent="0.25">
      <c r="A325" s="16">
        <v>295</v>
      </c>
      <c r="B325" s="16"/>
      <c r="C325" s="17">
        <v>0.15</v>
      </c>
      <c r="D325" s="17">
        <v>7.4999999999999997E-2</v>
      </c>
      <c r="E325" s="18">
        <f t="shared" si="29"/>
        <v>7.4999999999999997E-2</v>
      </c>
      <c r="F325" s="19">
        <v>5</v>
      </c>
      <c r="G325" s="20">
        <v>62.7</v>
      </c>
      <c r="H325" s="20">
        <v>28.2</v>
      </c>
      <c r="I325" s="20">
        <v>61.1</v>
      </c>
      <c r="J325" s="20">
        <v>60.6</v>
      </c>
      <c r="K325" s="20">
        <v>56.650000000000006</v>
      </c>
      <c r="L325" s="20"/>
      <c r="M325" s="20"/>
      <c r="N325" s="20"/>
      <c r="O325" s="20"/>
      <c r="P325" s="20"/>
      <c r="Q325" s="20"/>
      <c r="R325" s="21"/>
      <c r="S325" s="21"/>
      <c r="T325" s="21"/>
      <c r="U325" s="21"/>
      <c r="V325" s="21"/>
      <c r="W325" s="21"/>
      <c r="X325" s="21"/>
      <c r="Y325" s="21"/>
    </row>
    <row r="326" spans="1:25" x14ac:dyDescent="0.25">
      <c r="A326" s="16">
        <v>296</v>
      </c>
      <c r="B326" s="16"/>
      <c r="C326" s="17">
        <v>0.15</v>
      </c>
      <c r="D326" s="17">
        <v>7.4999999999999997E-2</v>
      </c>
      <c r="E326" s="18">
        <f t="shared" si="29"/>
        <v>7.4999999999999997E-2</v>
      </c>
      <c r="F326" s="19">
        <v>5</v>
      </c>
      <c r="G326" s="20">
        <v>62.05</v>
      </c>
      <c r="H326" s="20">
        <v>28.1</v>
      </c>
      <c r="I326" s="20">
        <v>60.6</v>
      </c>
      <c r="J326" s="20">
        <v>60</v>
      </c>
      <c r="K326" s="20">
        <v>56.650000000000006</v>
      </c>
      <c r="L326" s="20"/>
      <c r="M326" s="20"/>
      <c r="N326" s="20"/>
      <c r="O326" s="20"/>
      <c r="P326" s="20"/>
      <c r="Q326" s="20"/>
      <c r="R326" s="21"/>
      <c r="S326" s="21"/>
      <c r="T326" s="21"/>
      <c r="U326" s="21"/>
      <c r="V326" s="21"/>
      <c r="W326" s="21"/>
      <c r="X326" s="21"/>
      <c r="Y326" s="21"/>
    </row>
    <row r="327" spans="1:25" x14ac:dyDescent="0.25">
      <c r="A327" s="16">
        <v>297</v>
      </c>
      <c r="B327" s="16"/>
      <c r="C327" s="17">
        <v>0.15</v>
      </c>
      <c r="D327" s="17">
        <v>7.4999999999999997E-2</v>
      </c>
      <c r="E327" s="18">
        <f t="shared" si="29"/>
        <v>7.4999999999999997E-2</v>
      </c>
      <c r="F327" s="19">
        <v>5</v>
      </c>
      <c r="G327" s="20">
        <v>62</v>
      </c>
      <c r="H327" s="20">
        <v>28.2</v>
      </c>
      <c r="I327" s="20">
        <v>60.4</v>
      </c>
      <c r="J327" s="20">
        <v>60</v>
      </c>
      <c r="K327" s="20">
        <v>56.55</v>
      </c>
      <c r="L327" s="20"/>
      <c r="M327" s="20"/>
      <c r="N327" s="20"/>
      <c r="O327" s="20"/>
      <c r="P327" s="20"/>
      <c r="Q327" s="20"/>
      <c r="R327" s="21"/>
      <c r="S327" s="21"/>
      <c r="T327" s="21"/>
      <c r="U327" s="21"/>
      <c r="V327" s="21"/>
      <c r="W327" s="21"/>
      <c r="X327" s="21"/>
      <c r="Y327" s="21"/>
    </row>
    <row r="328" spans="1:25" x14ac:dyDescent="0.25">
      <c r="A328" s="16">
        <v>298</v>
      </c>
      <c r="B328" s="16"/>
      <c r="C328" s="17">
        <v>0.15</v>
      </c>
      <c r="D328" s="17">
        <v>7.4999999999999997E-2</v>
      </c>
      <c r="E328" s="18">
        <f t="shared" si="29"/>
        <v>7.4999999999999997E-2</v>
      </c>
      <c r="F328" s="19">
        <v>5</v>
      </c>
      <c r="G328" s="20">
        <v>61.8</v>
      </c>
      <c r="H328" s="20">
        <v>28.2</v>
      </c>
      <c r="I328" s="20">
        <v>60.4</v>
      </c>
      <c r="J328" s="20">
        <v>60</v>
      </c>
      <c r="K328" s="20">
        <v>56.55</v>
      </c>
      <c r="L328" s="20"/>
      <c r="M328" s="20"/>
      <c r="N328" s="20"/>
      <c r="O328" s="20"/>
      <c r="P328" s="20"/>
      <c r="Q328" s="20"/>
      <c r="R328" s="21"/>
      <c r="S328" s="21"/>
      <c r="T328" s="21"/>
      <c r="U328" s="21"/>
      <c r="V328" s="21"/>
      <c r="W328" s="21"/>
      <c r="X328" s="21"/>
      <c r="Y328" s="21"/>
    </row>
    <row r="329" spans="1:25" x14ac:dyDescent="0.25">
      <c r="A329" s="16">
        <v>299</v>
      </c>
      <c r="B329" s="16"/>
      <c r="C329" s="17">
        <v>0.15</v>
      </c>
      <c r="D329" s="17">
        <v>7.4999999999999997E-2</v>
      </c>
      <c r="E329" s="18">
        <f t="shared" si="29"/>
        <v>7.4999999999999997E-2</v>
      </c>
      <c r="F329" s="19">
        <v>5</v>
      </c>
      <c r="G329" s="20">
        <v>61.9</v>
      </c>
      <c r="H329" s="20">
        <v>28.2</v>
      </c>
      <c r="I329" s="20">
        <v>60.4</v>
      </c>
      <c r="J329" s="20">
        <v>60</v>
      </c>
      <c r="K329" s="20">
        <v>56.55</v>
      </c>
      <c r="L329" s="20"/>
      <c r="M329" s="20"/>
      <c r="N329" s="20"/>
      <c r="O329" s="20"/>
      <c r="P329" s="20"/>
      <c r="Q329" s="20"/>
      <c r="R329" s="21"/>
      <c r="S329" s="21"/>
      <c r="T329" s="21"/>
      <c r="U329" s="21"/>
      <c r="V329" s="21"/>
      <c r="W329" s="21"/>
      <c r="X329" s="21"/>
      <c r="Y329" s="21"/>
    </row>
    <row r="330" spans="1:25" x14ac:dyDescent="0.25">
      <c r="A330" s="16">
        <v>300</v>
      </c>
      <c r="B330" s="16"/>
      <c r="C330" s="17">
        <v>0.15</v>
      </c>
      <c r="D330" s="17">
        <v>7.4999999999999997E-2</v>
      </c>
      <c r="E330" s="18">
        <f t="shared" si="29"/>
        <v>7.4999999999999997E-2</v>
      </c>
      <c r="F330" s="19">
        <v>5</v>
      </c>
      <c r="G330" s="20">
        <v>62.25</v>
      </c>
      <c r="H330" s="20">
        <v>28.5</v>
      </c>
      <c r="I330" s="20">
        <v>60.6</v>
      </c>
      <c r="J330" s="20">
        <v>60.2</v>
      </c>
      <c r="K330" s="20">
        <v>56.349999999999994</v>
      </c>
      <c r="L330" s="20"/>
      <c r="M330" s="20"/>
      <c r="N330" s="20"/>
      <c r="O330" s="20"/>
      <c r="P330" s="20"/>
      <c r="Q330" s="20"/>
      <c r="R330" s="21"/>
      <c r="S330" s="21"/>
      <c r="T330" s="21"/>
      <c r="U330" s="21"/>
      <c r="V330" s="21"/>
      <c r="W330" s="21"/>
      <c r="X330" s="21"/>
      <c r="Y330" s="21"/>
    </row>
    <row r="331" spans="1:25" x14ac:dyDescent="0.25">
      <c r="A331" s="21"/>
      <c r="B331" s="21"/>
      <c r="C331" s="21"/>
      <c r="D331" s="21"/>
      <c r="E331" s="21"/>
      <c r="F331" s="27"/>
      <c r="G331" s="28"/>
      <c r="H331" s="28"/>
      <c r="I331" s="28"/>
      <c r="J331" s="28"/>
      <c r="K331" s="29"/>
      <c r="L331" s="30"/>
      <c r="M331" s="30"/>
      <c r="N331" s="31"/>
      <c r="O331" s="28"/>
      <c r="P331" s="28"/>
      <c r="Q331" s="28"/>
      <c r="R331" s="21"/>
      <c r="S331" s="21"/>
      <c r="T331" s="21"/>
      <c r="U331" s="21"/>
      <c r="V331" s="21"/>
      <c r="W331" s="21"/>
      <c r="X331" s="21"/>
      <c r="Y331" s="21"/>
    </row>
  </sheetData>
  <pageMargins left="0.7" right="0.7" top="0.75" bottom="0.75" header="0.3" footer="0.3"/>
  <tableParts count="3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331"/>
  <sheetViews>
    <sheetView workbookViewId="0">
      <pane xSplit="2" ySplit="1" topLeftCell="C293" activePane="bottomRight" state="frozen"/>
      <selection pane="topRight" activeCell="C1" sqref="C1"/>
      <selection pane="bottomLeft" activeCell="A2" sqref="A2"/>
      <selection pane="bottomRight" activeCell="C1" sqref="C1:E1"/>
    </sheetView>
  </sheetViews>
  <sheetFormatPr defaultColWidth="12.6640625" defaultRowHeight="15.75" customHeight="1" x14ac:dyDescent="0.25"/>
  <sheetData>
    <row r="1" spans="1:25" x14ac:dyDescent="0.25">
      <c r="A1" s="11" t="s">
        <v>0</v>
      </c>
      <c r="B1" s="11" t="s">
        <v>34</v>
      </c>
      <c r="C1" s="12" t="s">
        <v>79</v>
      </c>
      <c r="D1" s="12" t="s">
        <v>77</v>
      </c>
      <c r="E1" s="12" t="s">
        <v>78</v>
      </c>
      <c r="F1" s="13" t="s">
        <v>35</v>
      </c>
      <c r="G1" s="14" t="s">
        <v>36</v>
      </c>
      <c r="H1" s="14" t="s">
        <v>37</v>
      </c>
      <c r="I1" s="14" t="s">
        <v>38</v>
      </c>
      <c r="J1" s="14" t="s">
        <v>39</v>
      </c>
      <c r="K1" s="14" t="s">
        <v>40</v>
      </c>
      <c r="L1" s="14" t="s">
        <v>41</v>
      </c>
      <c r="M1" s="14" t="s">
        <v>42</v>
      </c>
      <c r="N1" s="14" t="s">
        <v>43</v>
      </c>
      <c r="O1" s="14" t="s">
        <v>44</v>
      </c>
      <c r="P1" s="14" t="s">
        <v>45</v>
      </c>
      <c r="Q1" s="14" t="s">
        <v>46</v>
      </c>
      <c r="R1" s="15"/>
      <c r="S1" s="15"/>
      <c r="T1" s="15"/>
      <c r="U1" s="15"/>
      <c r="V1" s="15"/>
      <c r="W1" s="15"/>
      <c r="X1" s="15"/>
      <c r="Y1" s="15"/>
    </row>
    <row r="2" spans="1:25" x14ac:dyDescent="0.25">
      <c r="A2" s="3">
        <v>1</v>
      </c>
      <c r="B2" s="3" t="s">
        <v>47</v>
      </c>
      <c r="C2" s="32">
        <v>0.33750000000000002</v>
      </c>
      <c r="D2" s="32">
        <v>0.10750000000000001</v>
      </c>
      <c r="E2" s="32">
        <v>0.23</v>
      </c>
      <c r="F2" s="33">
        <v>30</v>
      </c>
      <c r="G2" s="34">
        <v>52.099999999999994</v>
      </c>
      <c r="H2" s="34">
        <v>25.75</v>
      </c>
      <c r="I2" s="34">
        <v>49.6</v>
      </c>
      <c r="J2" s="34">
        <v>48.7</v>
      </c>
      <c r="K2" s="34">
        <v>46</v>
      </c>
      <c r="L2" s="34">
        <v>49.4</v>
      </c>
      <c r="M2" s="34">
        <v>48.7</v>
      </c>
      <c r="N2" s="34">
        <v>44.25</v>
      </c>
      <c r="O2" s="34">
        <v>51.1</v>
      </c>
      <c r="P2" s="34">
        <v>50</v>
      </c>
      <c r="Q2" s="34">
        <v>48.2</v>
      </c>
      <c r="R2" s="35"/>
      <c r="S2" s="35"/>
      <c r="T2" s="35"/>
      <c r="U2" s="35"/>
      <c r="V2" s="35"/>
      <c r="W2" s="35"/>
      <c r="X2" s="35"/>
      <c r="Y2" s="35"/>
    </row>
    <row r="3" spans="1:25" x14ac:dyDescent="0.25">
      <c r="A3" s="3">
        <v>2</v>
      </c>
      <c r="B3" s="36"/>
      <c r="C3" s="32">
        <v>0.33750000000000002</v>
      </c>
      <c r="D3" s="32">
        <v>0.10750000000000001</v>
      </c>
      <c r="E3" s="32">
        <v>0.23</v>
      </c>
      <c r="F3" s="33">
        <v>30</v>
      </c>
      <c r="G3" s="34">
        <v>52</v>
      </c>
      <c r="H3" s="34">
        <v>25.75</v>
      </c>
      <c r="I3" s="34">
        <v>49.6</v>
      </c>
      <c r="J3" s="34">
        <v>48.7</v>
      </c>
      <c r="K3" s="34">
        <v>46</v>
      </c>
      <c r="L3" s="34">
        <v>49.4</v>
      </c>
      <c r="M3" s="34">
        <v>48.7</v>
      </c>
      <c r="N3" s="34">
        <v>44.35</v>
      </c>
      <c r="O3" s="34">
        <v>51.1</v>
      </c>
      <c r="P3" s="34">
        <v>50</v>
      </c>
      <c r="Q3" s="34">
        <v>48.2</v>
      </c>
      <c r="R3" s="35"/>
      <c r="S3" s="35"/>
      <c r="T3" s="35"/>
      <c r="U3" s="35"/>
      <c r="V3" s="35"/>
      <c r="W3" s="35"/>
      <c r="X3" s="35"/>
      <c r="Y3" s="35"/>
    </row>
    <row r="4" spans="1:25" x14ac:dyDescent="0.25">
      <c r="A4" s="3">
        <v>3</v>
      </c>
      <c r="B4" s="36"/>
      <c r="C4" s="32">
        <v>0.33750000000000002</v>
      </c>
      <c r="D4" s="32">
        <v>0.10750000000000001</v>
      </c>
      <c r="E4" s="32">
        <v>0.23</v>
      </c>
      <c r="F4" s="33">
        <v>30</v>
      </c>
      <c r="G4" s="34">
        <v>52</v>
      </c>
      <c r="H4" s="34">
        <v>25.65</v>
      </c>
      <c r="I4" s="34">
        <v>49.5</v>
      </c>
      <c r="J4" s="34">
        <v>48.6</v>
      </c>
      <c r="K4" s="34">
        <v>45.900000000000006</v>
      </c>
      <c r="L4" s="34">
        <v>49.3</v>
      </c>
      <c r="M4" s="34">
        <v>48.6</v>
      </c>
      <c r="N4" s="34">
        <v>44.25</v>
      </c>
      <c r="O4" s="34">
        <v>51</v>
      </c>
      <c r="P4" s="34">
        <v>49.9</v>
      </c>
      <c r="Q4" s="34">
        <v>48.2</v>
      </c>
      <c r="R4" s="35"/>
      <c r="S4" s="35"/>
      <c r="T4" s="35"/>
      <c r="U4" s="35"/>
      <c r="V4" s="35"/>
      <c r="W4" s="35"/>
      <c r="X4" s="35"/>
      <c r="Y4" s="35"/>
    </row>
    <row r="5" spans="1:25" x14ac:dyDescent="0.25">
      <c r="A5" s="3">
        <v>4</v>
      </c>
      <c r="B5" s="36"/>
      <c r="C5" s="32">
        <v>0.33750000000000002</v>
      </c>
      <c r="D5" s="32">
        <v>0.10750000000000001</v>
      </c>
      <c r="E5" s="32">
        <v>0.23</v>
      </c>
      <c r="F5" s="33">
        <v>30</v>
      </c>
      <c r="G5" s="34">
        <v>52</v>
      </c>
      <c r="H5" s="34">
        <v>25.55</v>
      </c>
      <c r="I5" s="34">
        <v>49.5</v>
      </c>
      <c r="J5" s="34">
        <v>48.6</v>
      </c>
      <c r="K5" s="34">
        <v>46</v>
      </c>
      <c r="L5" s="34">
        <v>49.3</v>
      </c>
      <c r="M5" s="34">
        <v>48.6</v>
      </c>
      <c r="N5" s="34">
        <v>44.25</v>
      </c>
      <c r="O5" s="34">
        <v>51</v>
      </c>
      <c r="P5" s="34">
        <v>50</v>
      </c>
      <c r="Q5" s="34">
        <v>48.25</v>
      </c>
      <c r="R5" s="35"/>
      <c r="S5" s="35"/>
      <c r="T5" s="35"/>
      <c r="U5" s="35"/>
      <c r="V5" s="35"/>
      <c r="W5" s="35"/>
      <c r="X5" s="35"/>
      <c r="Y5" s="35"/>
    </row>
    <row r="6" spans="1:25" x14ac:dyDescent="0.25">
      <c r="A6" s="3">
        <v>5</v>
      </c>
      <c r="B6" s="36"/>
      <c r="C6" s="32">
        <v>0.33750000000000002</v>
      </c>
      <c r="D6" s="32">
        <v>0.10750000000000001</v>
      </c>
      <c r="E6" s="32">
        <v>0.23</v>
      </c>
      <c r="F6" s="33">
        <v>30</v>
      </c>
      <c r="G6" s="34">
        <v>52.15</v>
      </c>
      <c r="H6" s="34">
        <v>25.45</v>
      </c>
      <c r="I6" s="34">
        <v>49.4</v>
      </c>
      <c r="J6" s="34">
        <v>48.6</v>
      </c>
      <c r="K6" s="34">
        <v>45.9</v>
      </c>
      <c r="L6" s="34">
        <v>49.4</v>
      </c>
      <c r="M6" s="34">
        <v>48.5</v>
      </c>
      <c r="N6" s="34">
        <v>44.15</v>
      </c>
      <c r="O6" s="34">
        <v>50.9</v>
      </c>
      <c r="P6" s="34">
        <v>50</v>
      </c>
      <c r="Q6" s="34">
        <v>48.099999999999994</v>
      </c>
      <c r="R6" s="35"/>
      <c r="S6" s="35"/>
      <c r="T6" s="35"/>
      <c r="U6" s="35"/>
      <c r="V6" s="35"/>
      <c r="W6" s="35"/>
      <c r="X6" s="35"/>
      <c r="Y6" s="35"/>
    </row>
    <row r="7" spans="1:25" x14ac:dyDescent="0.25">
      <c r="A7" s="3">
        <v>6</v>
      </c>
      <c r="B7" s="36"/>
      <c r="C7" s="32">
        <v>0.33750000000000002</v>
      </c>
      <c r="D7" s="32">
        <v>0.10750000000000001</v>
      </c>
      <c r="E7" s="32">
        <v>0.23</v>
      </c>
      <c r="F7" s="33">
        <v>30</v>
      </c>
      <c r="G7" s="34">
        <v>52.15</v>
      </c>
      <c r="H7" s="34">
        <v>25.45</v>
      </c>
      <c r="I7" s="34">
        <v>49.6</v>
      </c>
      <c r="J7" s="34">
        <v>48.7</v>
      </c>
      <c r="K7" s="34">
        <v>45.95</v>
      </c>
      <c r="L7" s="34">
        <v>49.4</v>
      </c>
      <c r="M7" s="34">
        <v>48.6</v>
      </c>
      <c r="N7" s="34">
        <v>44.25</v>
      </c>
      <c r="O7" s="34">
        <v>51.1</v>
      </c>
      <c r="P7" s="34">
        <v>50</v>
      </c>
      <c r="Q7" s="34">
        <v>48.2</v>
      </c>
      <c r="R7" s="35"/>
      <c r="S7" s="35"/>
      <c r="T7" s="35"/>
      <c r="U7" s="35"/>
      <c r="V7" s="35"/>
      <c r="W7" s="35"/>
      <c r="X7" s="35"/>
      <c r="Y7" s="35"/>
    </row>
    <row r="8" spans="1:25" x14ac:dyDescent="0.25">
      <c r="A8" s="3">
        <v>7</v>
      </c>
      <c r="B8" s="36"/>
      <c r="C8" s="32">
        <v>0.33750000000000002</v>
      </c>
      <c r="D8" s="32">
        <v>0.10750000000000001</v>
      </c>
      <c r="E8" s="32">
        <v>0.23</v>
      </c>
      <c r="F8" s="33">
        <v>30</v>
      </c>
      <c r="G8" s="34">
        <v>52.25</v>
      </c>
      <c r="H8" s="34">
        <v>25.25</v>
      </c>
      <c r="I8" s="34">
        <v>49.6</v>
      </c>
      <c r="J8" s="34">
        <v>48.7</v>
      </c>
      <c r="K8" s="34">
        <v>46.150000000000006</v>
      </c>
      <c r="L8" s="34">
        <v>49.6</v>
      </c>
      <c r="M8" s="34">
        <v>48.7</v>
      </c>
      <c r="N8" s="34">
        <v>44.35</v>
      </c>
      <c r="O8" s="34">
        <v>51.1</v>
      </c>
      <c r="P8" s="34">
        <v>50.2</v>
      </c>
      <c r="Q8" s="34">
        <v>48.3</v>
      </c>
      <c r="R8" s="35"/>
      <c r="S8" s="35"/>
      <c r="T8" s="35"/>
      <c r="U8" s="35"/>
      <c r="V8" s="35"/>
      <c r="W8" s="35"/>
      <c r="X8" s="35"/>
      <c r="Y8" s="35"/>
    </row>
    <row r="9" spans="1:25" x14ac:dyDescent="0.25">
      <c r="A9" s="3">
        <v>8</v>
      </c>
      <c r="B9" s="36"/>
      <c r="C9" s="32">
        <v>0.33750000000000002</v>
      </c>
      <c r="D9" s="32">
        <v>0.10750000000000001</v>
      </c>
      <c r="E9" s="32">
        <v>0.23</v>
      </c>
      <c r="F9" s="33">
        <v>30</v>
      </c>
      <c r="G9" s="34">
        <v>52.5</v>
      </c>
      <c r="H9" s="34">
        <v>25</v>
      </c>
      <c r="I9" s="34">
        <v>49.7</v>
      </c>
      <c r="J9" s="34">
        <v>48.8</v>
      </c>
      <c r="K9" s="34">
        <v>46.15</v>
      </c>
      <c r="L9" s="34">
        <v>49.5</v>
      </c>
      <c r="M9" s="34">
        <v>48.8</v>
      </c>
      <c r="N9" s="34">
        <v>44.35</v>
      </c>
      <c r="O9" s="34">
        <v>51.2</v>
      </c>
      <c r="P9" s="34">
        <v>50.1</v>
      </c>
      <c r="Q9" s="34">
        <v>48.3</v>
      </c>
      <c r="R9" s="35"/>
      <c r="S9" s="35"/>
      <c r="T9" s="35"/>
      <c r="U9" s="35"/>
      <c r="V9" s="35"/>
      <c r="W9" s="35"/>
      <c r="X9" s="35"/>
      <c r="Y9" s="35"/>
    </row>
    <row r="10" spans="1:25" x14ac:dyDescent="0.25">
      <c r="A10" s="3">
        <v>9</v>
      </c>
      <c r="B10" s="36"/>
      <c r="C10" s="32">
        <v>0.33750000000000002</v>
      </c>
      <c r="D10" s="32">
        <v>0.10750000000000001</v>
      </c>
      <c r="E10" s="32">
        <v>0.23</v>
      </c>
      <c r="F10" s="33">
        <v>30</v>
      </c>
      <c r="G10" s="34">
        <v>52.7</v>
      </c>
      <c r="H10" s="34">
        <v>25.1</v>
      </c>
      <c r="I10" s="34">
        <v>49.9</v>
      </c>
      <c r="J10" s="34">
        <v>49</v>
      </c>
      <c r="K10" s="34">
        <v>46.1</v>
      </c>
      <c r="L10" s="34">
        <v>49.7</v>
      </c>
      <c r="M10" s="34">
        <v>49</v>
      </c>
      <c r="N10" s="34">
        <v>44.45</v>
      </c>
      <c r="O10" s="34">
        <v>51.4</v>
      </c>
      <c r="P10" s="34">
        <v>50.3</v>
      </c>
      <c r="Q10" s="34">
        <v>48.400000000000006</v>
      </c>
      <c r="R10" s="35"/>
      <c r="S10" s="35"/>
      <c r="T10" s="35"/>
      <c r="U10" s="35"/>
      <c r="V10" s="35"/>
      <c r="W10" s="35"/>
      <c r="X10" s="35"/>
      <c r="Y10" s="35"/>
    </row>
    <row r="11" spans="1:25" x14ac:dyDescent="0.25">
      <c r="A11" s="3">
        <v>10</v>
      </c>
      <c r="B11" s="36"/>
      <c r="C11" s="32">
        <v>0.33750000000000002</v>
      </c>
      <c r="D11" s="32">
        <v>0.10750000000000001</v>
      </c>
      <c r="E11" s="32">
        <v>0.23</v>
      </c>
      <c r="F11" s="33">
        <v>30</v>
      </c>
      <c r="G11" s="34">
        <v>52.5</v>
      </c>
      <c r="H11" s="34">
        <v>25.05</v>
      </c>
      <c r="I11" s="34">
        <v>49.8</v>
      </c>
      <c r="J11" s="34">
        <v>48.9</v>
      </c>
      <c r="K11" s="34">
        <v>46</v>
      </c>
      <c r="L11" s="34">
        <v>49.6</v>
      </c>
      <c r="M11" s="34">
        <v>48.9</v>
      </c>
      <c r="N11" s="34">
        <v>44.35</v>
      </c>
      <c r="O11" s="34">
        <v>51.3</v>
      </c>
      <c r="P11" s="34">
        <v>50.2</v>
      </c>
      <c r="Q11" s="34">
        <v>48.3</v>
      </c>
      <c r="R11" s="35"/>
      <c r="S11" s="35"/>
      <c r="T11" s="35"/>
      <c r="U11" s="35"/>
      <c r="V11" s="35"/>
      <c r="W11" s="35"/>
      <c r="X11" s="35"/>
      <c r="Y11" s="35"/>
    </row>
    <row r="12" spans="1:25" x14ac:dyDescent="0.25">
      <c r="A12" s="36"/>
      <c r="B12" s="36"/>
      <c r="C12" s="36"/>
      <c r="D12" s="36"/>
      <c r="E12" s="36"/>
      <c r="F12" s="37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5"/>
      <c r="S12" s="35"/>
      <c r="T12" s="35"/>
      <c r="U12" s="35"/>
      <c r="V12" s="35"/>
      <c r="W12" s="35"/>
      <c r="X12" s="35"/>
      <c r="Y12" s="35"/>
    </row>
    <row r="13" spans="1:25" x14ac:dyDescent="0.25">
      <c r="A13" s="3">
        <v>11</v>
      </c>
      <c r="B13" s="3" t="s">
        <v>48</v>
      </c>
      <c r="C13" s="32">
        <v>0.2525</v>
      </c>
      <c r="D13" s="32">
        <v>0.11750000000000001</v>
      </c>
      <c r="E13" s="32">
        <v>0.13500000000000001</v>
      </c>
      <c r="F13" s="33">
        <v>25</v>
      </c>
      <c r="G13" s="34">
        <v>52.75</v>
      </c>
      <c r="H13" s="34">
        <v>26.5</v>
      </c>
      <c r="I13" s="34">
        <v>50</v>
      </c>
      <c r="J13" s="34">
        <v>49.2</v>
      </c>
      <c r="K13" s="34">
        <v>46.4</v>
      </c>
      <c r="L13" s="34">
        <v>50</v>
      </c>
      <c r="M13" s="34">
        <v>49</v>
      </c>
      <c r="N13" s="34">
        <v>44.55</v>
      </c>
      <c r="O13" s="34">
        <v>51.6</v>
      </c>
      <c r="P13" s="34">
        <v>50.3</v>
      </c>
      <c r="Q13" s="34">
        <v>48.3</v>
      </c>
      <c r="R13" s="35"/>
      <c r="S13" s="35"/>
      <c r="T13" s="35"/>
      <c r="U13" s="35"/>
      <c r="V13" s="35"/>
      <c r="W13" s="35"/>
      <c r="X13" s="35"/>
      <c r="Y13" s="35"/>
    </row>
    <row r="14" spans="1:25" x14ac:dyDescent="0.25">
      <c r="A14" s="3">
        <v>12</v>
      </c>
      <c r="B14" s="36"/>
      <c r="C14" s="32">
        <v>0.2525</v>
      </c>
      <c r="D14" s="32">
        <v>0.11750000000000001</v>
      </c>
      <c r="E14" s="32">
        <v>0.13500000000000001</v>
      </c>
      <c r="F14" s="33">
        <v>25</v>
      </c>
      <c r="G14" s="34">
        <v>52.8</v>
      </c>
      <c r="H14" s="34">
        <v>26.4</v>
      </c>
      <c r="I14" s="34">
        <v>50</v>
      </c>
      <c r="J14" s="34">
        <v>49.2</v>
      </c>
      <c r="K14" s="34">
        <v>46.4</v>
      </c>
      <c r="L14" s="34">
        <v>50</v>
      </c>
      <c r="M14" s="34">
        <v>49</v>
      </c>
      <c r="N14" s="34">
        <v>44.65</v>
      </c>
      <c r="O14" s="34">
        <v>51.6</v>
      </c>
      <c r="P14" s="34">
        <v>50.3</v>
      </c>
      <c r="Q14" s="34">
        <v>48.3</v>
      </c>
      <c r="R14" s="35"/>
      <c r="S14" s="35"/>
      <c r="T14" s="35"/>
      <c r="U14" s="35"/>
      <c r="V14" s="35"/>
      <c r="W14" s="35"/>
      <c r="X14" s="35"/>
      <c r="Y14" s="35"/>
    </row>
    <row r="15" spans="1:25" x14ac:dyDescent="0.25">
      <c r="A15" s="3">
        <v>13</v>
      </c>
      <c r="B15" s="36"/>
      <c r="C15" s="32">
        <v>0.2525</v>
      </c>
      <c r="D15" s="32">
        <v>0.11750000000000001</v>
      </c>
      <c r="E15" s="32">
        <v>0.13500000000000001</v>
      </c>
      <c r="F15" s="33">
        <v>25</v>
      </c>
      <c r="G15" s="34">
        <v>52.75</v>
      </c>
      <c r="H15" s="34">
        <v>26.4</v>
      </c>
      <c r="I15" s="34">
        <v>50</v>
      </c>
      <c r="J15" s="34">
        <v>49.2</v>
      </c>
      <c r="K15" s="34">
        <v>46.3</v>
      </c>
      <c r="L15" s="34">
        <v>50</v>
      </c>
      <c r="M15" s="34">
        <v>49</v>
      </c>
      <c r="N15" s="34">
        <v>44.65</v>
      </c>
      <c r="O15" s="34">
        <v>51.6</v>
      </c>
      <c r="P15" s="34">
        <v>50.3</v>
      </c>
      <c r="Q15" s="34">
        <v>48.3</v>
      </c>
      <c r="R15" s="35"/>
      <c r="S15" s="35"/>
      <c r="T15" s="35"/>
      <c r="U15" s="35"/>
      <c r="V15" s="35"/>
      <c r="W15" s="35"/>
      <c r="X15" s="35"/>
      <c r="Y15" s="35"/>
    </row>
    <row r="16" spans="1:25" x14ac:dyDescent="0.25">
      <c r="A16" s="3">
        <v>14</v>
      </c>
      <c r="B16" s="36"/>
      <c r="C16" s="32">
        <v>0.2525</v>
      </c>
      <c r="D16" s="32">
        <v>0.11750000000000001</v>
      </c>
      <c r="E16" s="32">
        <v>0.13500000000000001</v>
      </c>
      <c r="F16" s="33">
        <v>25</v>
      </c>
      <c r="G16" s="34">
        <v>52.75</v>
      </c>
      <c r="H16" s="34">
        <v>26.4</v>
      </c>
      <c r="I16" s="34">
        <v>50.2</v>
      </c>
      <c r="J16" s="34">
        <v>49.2</v>
      </c>
      <c r="K16" s="34">
        <v>46.4</v>
      </c>
      <c r="L16" s="34">
        <v>50</v>
      </c>
      <c r="M16" s="34">
        <v>49</v>
      </c>
      <c r="N16" s="34">
        <v>44.65</v>
      </c>
      <c r="O16" s="34">
        <v>51.6</v>
      </c>
      <c r="P16" s="34">
        <v>50.3</v>
      </c>
      <c r="Q16" s="34">
        <v>48.400000000000006</v>
      </c>
      <c r="R16" s="35"/>
      <c r="S16" s="35"/>
      <c r="T16" s="35"/>
      <c r="U16" s="35"/>
      <c r="V16" s="35"/>
      <c r="W16" s="35"/>
      <c r="X16" s="35"/>
      <c r="Y16" s="35"/>
    </row>
    <row r="17" spans="1:25" x14ac:dyDescent="0.25">
      <c r="A17" s="3">
        <v>15</v>
      </c>
      <c r="B17" s="36"/>
      <c r="C17" s="32">
        <v>0.2525</v>
      </c>
      <c r="D17" s="32">
        <v>0.11750000000000001</v>
      </c>
      <c r="E17" s="32">
        <v>0.13500000000000001</v>
      </c>
      <c r="F17" s="33">
        <v>25</v>
      </c>
      <c r="G17" s="34">
        <v>52.85</v>
      </c>
      <c r="H17" s="34">
        <v>26.5</v>
      </c>
      <c r="I17" s="34">
        <v>50.2</v>
      </c>
      <c r="J17" s="34">
        <v>49.2</v>
      </c>
      <c r="K17" s="34">
        <v>46.5</v>
      </c>
      <c r="L17" s="34">
        <v>50</v>
      </c>
      <c r="M17" s="34">
        <v>49.2</v>
      </c>
      <c r="N17" s="34">
        <v>44.65</v>
      </c>
      <c r="O17" s="34">
        <v>51.6</v>
      </c>
      <c r="P17" s="34">
        <v>50.3</v>
      </c>
      <c r="Q17" s="34">
        <v>48.400000000000006</v>
      </c>
      <c r="R17" s="35"/>
      <c r="S17" s="35"/>
      <c r="T17" s="35"/>
      <c r="U17" s="35"/>
      <c r="V17" s="35"/>
      <c r="W17" s="35"/>
      <c r="X17" s="35"/>
      <c r="Y17" s="35"/>
    </row>
    <row r="18" spans="1:25" x14ac:dyDescent="0.25">
      <c r="A18" s="3">
        <v>16</v>
      </c>
      <c r="B18" s="36"/>
      <c r="C18" s="32">
        <v>0.2525</v>
      </c>
      <c r="D18" s="32">
        <v>0.11750000000000001</v>
      </c>
      <c r="E18" s="32">
        <v>0.13500000000000001</v>
      </c>
      <c r="F18" s="33">
        <v>25</v>
      </c>
      <c r="G18" s="34">
        <v>52.75</v>
      </c>
      <c r="H18" s="34">
        <v>26.5</v>
      </c>
      <c r="I18" s="34">
        <v>50.2</v>
      </c>
      <c r="J18" s="34">
        <v>49.2</v>
      </c>
      <c r="K18" s="34">
        <v>46.5</v>
      </c>
      <c r="L18" s="34">
        <v>50</v>
      </c>
      <c r="M18" s="34">
        <v>49.2</v>
      </c>
      <c r="N18" s="34">
        <v>44.75</v>
      </c>
      <c r="O18" s="34">
        <v>51.6</v>
      </c>
      <c r="P18" s="34">
        <v>50.3</v>
      </c>
      <c r="Q18" s="34">
        <v>48.5</v>
      </c>
      <c r="R18" s="35"/>
      <c r="S18" s="35"/>
      <c r="T18" s="35"/>
      <c r="U18" s="35"/>
      <c r="V18" s="35"/>
      <c r="W18" s="35"/>
      <c r="X18" s="35"/>
      <c r="Y18" s="35"/>
    </row>
    <row r="19" spans="1:25" x14ac:dyDescent="0.25">
      <c r="A19" s="3">
        <v>17</v>
      </c>
      <c r="B19" s="36"/>
      <c r="C19" s="32">
        <v>0.2525</v>
      </c>
      <c r="D19" s="32">
        <v>0.11750000000000001</v>
      </c>
      <c r="E19" s="32">
        <v>0.13500000000000001</v>
      </c>
      <c r="F19" s="33">
        <v>25</v>
      </c>
      <c r="G19" s="34">
        <v>52.75</v>
      </c>
      <c r="H19" s="34">
        <v>26.5</v>
      </c>
      <c r="I19" s="34">
        <v>50.2</v>
      </c>
      <c r="J19" s="34">
        <v>49.2</v>
      </c>
      <c r="K19" s="34">
        <v>46.4</v>
      </c>
      <c r="L19" s="34">
        <v>50</v>
      </c>
      <c r="M19" s="34">
        <v>49.2</v>
      </c>
      <c r="N19" s="34">
        <v>44.75</v>
      </c>
      <c r="O19" s="34">
        <v>51.6</v>
      </c>
      <c r="P19" s="34">
        <v>50.3</v>
      </c>
      <c r="Q19" s="34">
        <v>48.400000000000006</v>
      </c>
      <c r="R19" s="35"/>
      <c r="S19" s="35"/>
      <c r="T19" s="35"/>
      <c r="U19" s="35"/>
      <c r="V19" s="35"/>
      <c r="W19" s="35"/>
      <c r="X19" s="35"/>
      <c r="Y19" s="35"/>
    </row>
    <row r="20" spans="1:25" x14ac:dyDescent="0.25">
      <c r="A20" s="3">
        <v>18</v>
      </c>
      <c r="B20" s="36"/>
      <c r="C20" s="32">
        <v>0.2525</v>
      </c>
      <c r="D20" s="32">
        <v>0.11750000000000001</v>
      </c>
      <c r="E20" s="32">
        <v>0.13500000000000001</v>
      </c>
      <c r="F20" s="33">
        <v>25</v>
      </c>
      <c r="G20" s="34">
        <v>52.85</v>
      </c>
      <c r="H20" s="34">
        <v>26.4</v>
      </c>
      <c r="I20" s="34">
        <v>50.2</v>
      </c>
      <c r="J20" s="34">
        <v>49.2</v>
      </c>
      <c r="K20" s="34">
        <v>46.4</v>
      </c>
      <c r="L20" s="34">
        <v>50</v>
      </c>
      <c r="M20" s="34">
        <v>49.2</v>
      </c>
      <c r="N20" s="34">
        <v>44.65</v>
      </c>
      <c r="O20" s="34">
        <v>51.6</v>
      </c>
      <c r="P20" s="34">
        <v>50.3</v>
      </c>
      <c r="Q20" s="34">
        <v>48.3</v>
      </c>
      <c r="R20" s="35"/>
      <c r="S20" s="35"/>
      <c r="T20" s="35"/>
      <c r="U20" s="35"/>
      <c r="V20" s="35"/>
      <c r="W20" s="35"/>
      <c r="X20" s="35"/>
      <c r="Y20" s="35"/>
    </row>
    <row r="21" spans="1:25" x14ac:dyDescent="0.25">
      <c r="A21" s="3">
        <v>19</v>
      </c>
      <c r="B21" s="36"/>
      <c r="C21" s="32">
        <v>0.2525</v>
      </c>
      <c r="D21" s="32">
        <v>0.11750000000000001</v>
      </c>
      <c r="E21" s="32">
        <v>0.13500000000000001</v>
      </c>
      <c r="F21" s="33">
        <v>25</v>
      </c>
      <c r="G21" s="34">
        <v>52.95</v>
      </c>
      <c r="H21" s="34">
        <v>26.4</v>
      </c>
      <c r="I21" s="34">
        <v>50.2</v>
      </c>
      <c r="J21" s="34">
        <v>49.2</v>
      </c>
      <c r="K21" s="34">
        <v>46.55</v>
      </c>
      <c r="L21" s="34">
        <v>50</v>
      </c>
      <c r="M21" s="34">
        <v>49.2</v>
      </c>
      <c r="N21" s="34">
        <v>44.85</v>
      </c>
      <c r="O21" s="34">
        <v>51.6</v>
      </c>
      <c r="P21" s="34">
        <v>50.5</v>
      </c>
      <c r="Q21" s="34">
        <v>48.5</v>
      </c>
      <c r="R21" s="35"/>
      <c r="S21" s="35"/>
      <c r="T21" s="35"/>
      <c r="U21" s="35"/>
      <c r="V21" s="35"/>
      <c r="W21" s="35"/>
      <c r="X21" s="35"/>
      <c r="Y21" s="35"/>
    </row>
    <row r="22" spans="1:25" x14ac:dyDescent="0.25">
      <c r="A22" s="3">
        <v>20</v>
      </c>
      <c r="B22" s="36"/>
      <c r="C22" s="32">
        <v>0.2525</v>
      </c>
      <c r="D22" s="32">
        <v>0.11750000000000001</v>
      </c>
      <c r="E22" s="32">
        <v>0.13500000000000001</v>
      </c>
      <c r="F22" s="33">
        <v>25</v>
      </c>
      <c r="G22" s="34">
        <v>52.85</v>
      </c>
      <c r="H22" s="34">
        <v>26.2</v>
      </c>
      <c r="I22" s="34">
        <v>50.1</v>
      </c>
      <c r="J22" s="34">
        <v>49.3</v>
      </c>
      <c r="K22" s="34">
        <v>46.6</v>
      </c>
      <c r="L22" s="34">
        <v>50.1</v>
      </c>
      <c r="M22" s="34">
        <v>49.1</v>
      </c>
      <c r="N22" s="34">
        <v>44.75</v>
      </c>
      <c r="O22" s="34">
        <v>51.5</v>
      </c>
      <c r="P22" s="34">
        <v>50.4</v>
      </c>
      <c r="Q22" s="34">
        <v>48.6</v>
      </c>
      <c r="R22" s="35"/>
      <c r="S22" s="35"/>
      <c r="T22" s="35"/>
      <c r="U22" s="35"/>
      <c r="V22" s="35"/>
      <c r="W22" s="35"/>
      <c r="X22" s="35"/>
      <c r="Y22" s="35"/>
    </row>
    <row r="23" spans="1:25" x14ac:dyDescent="0.25">
      <c r="A23" s="36"/>
      <c r="B23" s="36"/>
      <c r="C23" s="36"/>
      <c r="D23" s="36"/>
      <c r="E23" s="36"/>
      <c r="F23" s="37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5"/>
      <c r="S23" s="35"/>
      <c r="T23" s="35"/>
      <c r="U23" s="35"/>
      <c r="V23" s="35"/>
      <c r="W23" s="35"/>
      <c r="X23" s="35"/>
      <c r="Y23" s="35"/>
    </row>
    <row r="24" spans="1:25" x14ac:dyDescent="0.25">
      <c r="A24" s="3">
        <v>21</v>
      </c>
      <c r="B24" s="3" t="s">
        <v>49</v>
      </c>
      <c r="C24" s="32">
        <v>0.2</v>
      </c>
      <c r="D24" s="32">
        <v>0.1</v>
      </c>
      <c r="E24" s="32">
        <v>0.1</v>
      </c>
      <c r="F24" s="33">
        <v>20</v>
      </c>
      <c r="G24" s="34">
        <v>52.75</v>
      </c>
      <c r="H24" s="34">
        <v>26.3</v>
      </c>
      <c r="I24" s="34">
        <v>50</v>
      </c>
      <c r="J24" s="34">
        <v>49.2</v>
      </c>
      <c r="K24" s="34">
        <v>46.65</v>
      </c>
      <c r="L24" s="34">
        <v>49.8</v>
      </c>
      <c r="M24" s="34">
        <v>49.2</v>
      </c>
      <c r="N24" s="34">
        <v>44.75</v>
      </c>
      <c r="O24" s="34">
        <v>51.5</v>
      </c>
      <c r="P24" s="34">
        <v>50.4</v>
      </c>
      <c r="Q24" s="34">
        <v>48.6</v>
      </c>
      <c r="R24" s="35"/>
      <c r="S24" s="35"/>
      <c r="T24" s="35"/>
      <c r="U24" s="35"/>
      <c r="V24" s="35"/>
      <c r="W24" s="35"/>
      <c r="X24" s="35"/>
      <c r="Y24" s="35"/>
    </row>
    <row r="25" spans="1:25" x14ac:dyDescent="0.25">
      <c r="A25" s="3">
        <v>22</v>
      </c>
      <c r="B25" s="36"/>
      <c r="C25" s="32">
        <v>0.2</v>
      </c>
      <c r="D25" s="32">
        <v>0.1</v>
      </c>
      <c r="E25" s="32">
        <v>0.1</v>
      </c>
      <c r="F25" s="33">
        <v>20</v>
      </c>
      <c r="G25" s="34">
        <v>52.65</v>
      </c>
      <c r="H25" s="34">
        <v>26.3</v>
      </c>
      <c r="I25" s="34">
        <v>50</v>
      </c>
      <c r="J25" s="34">
        <v>49.2</v>
      </c>
      <c r="K25" s="34">
        <v>46.400000000000006</v>
      </c>
      <c r="L25" s="34">
        <v>49.8</v>
      </c>
      <c r="M25" s="34">
        <v>49.1</v>
      </c>
      <c r="N25" s="34">
        <v>44.75</v>
      </c>
      <c r="O25" s="34">
        <v>51.5</v>
      </c>
      <c r="P25" s="34">
        <v>50.4</v>
      </c>
      <c r="Q25" s="34">
        <v>48.5</v>
      </c>
      <c r="R25" s="35"/>
      <c r="S25" s="35"/>
      <c r="T25" s="35"/>
      <c r="U25" s="35"/>
      <c r="V25" s="35"/>
      <c r="W25" s="35"/>
      <c r="X25" s="35"/>
      <c r="Y25" s="35"/>
    </row>
    <row r="26" spans="1:25" x14ac:dyDescent="0.25">
      <c r="A26" s="3">
        <v>23</v>
      </c>
      <c r="B26" s="36"/>
      <c r="C26" s="32">
        <v>0.2</v>
      </c>
      <c r="D26" s="32">
        <v>0.1</v>
      </c>
      <c r="E26" s="32">
        <v>0.1</v>
      </c>
      <c r="F26" s="33">
        <v>20</v>
      </c>
      <c r="G26" s="34">
        <v>52.75</v>
      </c>
      <c r="H26" s="34">
        <v>26.3</v>
      </c>
      <c r="I26" s="34">
        <v>50</v>
      </c>
      <c r="J26" s="34">
        <v>49.2</v>
      </c>
      <c r="K26" s="34">
        <v>46.400000000000006</v>
      </c>
      <c r="L26" s="34">
        <v>49.8</v>
      </c>
      <c r="M26" s="34">
        <v>49.1</v>
      </c>
      <c r="N26" s="34">
        <v>44.75</v>
      </c>
      <c r="O26" s="34">
        <v>51.5</v>
      </c>
      <c r="P26" s="34">
        <v>50.4</v>
      </c>
      <c r="Q26" s="34">
        <v>48.4</v>
      </c>
      <c r="R26" s="35"/>
      <c r="S26" s="35"/>
      <c r="T26" s="35"/>
      <c r="U26" s="35"/>
      <c r="V26" s="35"/>
      <c r="W26" s="35"/>
      <c r="X26" s="35"/>
      <c r="Y26" s="35"/>
    </row>
    <row r="27" spans="1:25" x14ac:dyDescent="0.25">
      <c r="A27" s="3">
        <v>24</v>
      </c>
      <c r="B27" s="36"/>
      <c r="C27" s="32">
        <v>0.2</v>
      </c>
      <c r="D27" s="32">
        <v>0.1</v>
      </c>
      <c r="E27" s="32">
        <v>0.1</v>
      </c>
      <c r="F27" s="33">
        <v>20</v>
      </c>
      <c r="G27" s="34">
        <v>52.75</v>
      </c>
      <c r="H27" s="34">
        <v>26.3</v>
      </c>
      <c r="I27" s="34">
        <v>50</v>
      </c>
      <c r="J27" s="34">
        <v>49.2</v>
      </c>
      <c r="K27" s="34">
        <v>46.4</v>
      </c>
      <c r="L27" s="34">
        <v>49.8</v>
      </c>
      <c r="M27" s="34">
        <v>49.1</v>
      </c>
      <c r="N27" s="34">
        <v>44.75</v>
      </c>
      <c r="O27" s="34">
        <v>51.5</v>
      </c>
      <c r="P27" s="34">
        <v>50.4</v>
      </c>
      <c r="Q27" s="34">
        <v>48.5</v>
      </c>
      <c r="R27" s="35"/>
      <c r="S27" s="35"/>
      <c r="T27" s="35"/>
      <c r="U27" s="35"/>
      <c r="V27" s="35"/>
      <c r="W27" s="35"/>
      <c r="X27" s="35"/>
      <c r="Y27" s="35"/>
    </row>
    <row r="28" spans="1:25" x14ac:dyDescent="0.25">
      <c r="A28" s="3">
        <v>25</v>
      </c>
      <c r="B28" s="36"/>
      <c r="C28" s="32">
        <v>0.2</v>
      </c>
      <c r="D28" s="32">
        <v>0.1</v>
      </c>
      <c r="E28" s="32">
        <v>0.1</v>
      </c>
      <c r="F28" s="33">
        <v>20</v>
      </c>
      <c r="G28" s="34">
        <v>52.75</v>
      </c>
      <c r="H28" s="34">
        <v>26.3</v>
      </c>
      <c r="I28" s="34">
        <v>50</v>
      </c>
      <c r="J28" s="34">
        <v>49.2</v>
      </c>
      <c r="K28" s="34">
        <v>46.5</v>
      </c>
      <c r="L28" s="34">
        <v>49.8</v>
      </c>
      <c r="M28" s="34">
        <v>49.1</v>
      </c>
      <c r="N28" s="34">
        <v>44.75</v>
      </c>
      <c r="O28" s="34">
        <v>51.5</v>
      </c>
      <c r="P28" s="34">
        <v>50.4</v>
      </c>
      <c r="Q28" s="34">
        <v>48.6</v>
      </c>
      <c r="R28" s="35"/>
      <c r="S28" s="35"/>
      <c r="T28" s="35"/>
      <c r="U28" s="35"/>
      <c r="V28" s="35"/>
      <c r="W28" s="35"/>
      <c r="X28" s="35"/>
      <c r="Y28" s="35"/>
    </row>
    <row r="29" spans="1:25" x14ac:dyDescent="0.25">
      <c r="A29" s="3">
        <v>26</v>
      </c>
      <c r="B29" s="36"/>
      <c r="C29" s="32">
        <v>0.2</v>
      </c>
      <c r="D29" s="32">
        <v>0.1</v>
      </c>
      <c r="E29" s="32">
        <v>0.1</v>
      </c>
      <c r="F29" s="33">
        <v>20</v>
      </c>
      <c r="G29" s="34">
        <v>52.65</v>
      </c>
      <c r="H29" s="34">
        <v>26.25</v>
      </c>
      <c r="I29" s="34">
        <v>49.9</v>
      </c>
      <c r="J29" s="34">
        <v>49.1</v>
      </c>
      <c r="K29" s="34">
        <v>46.5</v>
      </c>
      <c r="L29" s="34">
        <v>49.7</v>
      </c>
      <c r="M29" s="34">
        <v>49</v>
      </c>
      <c r="N29" s="34">
        <v>44.65</v>
      </c>
      <c r="O29" s="34">
        <v>51.4</v>
      </c>
      <c r="P29" s="34">
        <v>50.3</v>
      </c>
      <c r="Q29" s="34">
        <v>48.5</v>
      </c>
      <c r="R29" s="35"/>
      <c r="S29" s="35"/>
      <c r="T29" s="35"/>
      <c r="U29" s="35"/>
      <c r="V29" s="35"/>
      <c r="W29" s="35"/>
      <c r="X29" s="35"/>
      <c r="Y29" s="35"/>
    </row>
    <row r="30" spans="1:25" x14ac:dyDescent="0.25">
      <c r="A30" s="3">
        <v>27</v>
      </c>
      <c r="B30" s="36"/>
      <c r="C30" s="32">
        <v>0.2</v>
      </c>
      <c r="D30" s="32">
        <v>0.1</v>
      </c>
      <c r="E30" s="32">
        <v>0.1</v>
      </c>
      <c r="F30" s="33">
        <v>20</v>
      </c>
      <c r="G30" s="34">
        <v>52.599999999999994</v>
      </c>
      <c r="H30" s="34">
        <v>26.25</v>
      </c>
      <c r="I30" s="34">
        <v>49.9</v>
      </c>
      <c r="J30" s="34">
        <v>49.1</v>
      </c>
      <c r="K30" s="34">
        <v>46.35</v>
      </c>
      <c r="L30" s="34">
        <v>49.7</v>
      </c>
      <c r="M30" s="34">
        <v>49</v>
      </c>
      <c r="N30" s="34">
        <v>44.65</v>
      </c>
      <c r="O30" s="34">
        <v>51.4</v>
      </c>
      <c r="P30" s="34">
        <v>50.3</v>
      </c>
      <c r="Q30" s="34">
        <v>48.5</v>
      </c>
      <c r="R30" s="35"/>
      <c r="S30" s="35"/>
      <c r="T30" s="35"/>
      <c r="U30" s="35"/>
      <c r="V30" s="35"/>
      <c r="W30" s="35"/>
      <c r="X30" s="35"/>
      <c r="Y30" s="35"/>
    </row>
    <row r="31" spans="1:25" x14ac:dyDescent="0.25">
      <c r="A31" s="3">
        <v>28</v>
      </c>
      <c r="B31" s="36"/>
      <c r="C31" s="32">
        <v>0.2</v>
      </c>
      <c r="D31" s="32">
        <v>0.1</v>
      </c>
      <c r="E31" s="32">
        <v>0.1</v>
      </c>
      <c r="F31" s="33">
        <v>20</v>
      </c>
      <c r="G31" s="34">
        <v>52.55</v>
      </c>
      <c r="H31" s="34">
        <v>26.15</v>
      </c>
      <c r="I31" s="34">
        <v>49.8</v>
      </c>
      <c r="J31" s="34">
        <v>49.1</v>
      </c>
      <c r="K31" s="34">
        <v>46.599999999999994</v>
      </c>
      <c r="L31" s="34">
        <v>49.6</v>
      </c>
      <c r="M31" s="34">
        <v>48.9</v>
      </c>
      <c r="N31" s="34">
        <v>44.65</v>
      </c>
      <c r="O31" s="34">
        <v>51.3</v>
      </c>
      <c r="P31" s="34">
        <v>50.2</v>
      </c>
      <c r="Q31" s="34">
        <v>48.5</v>
      </c>
      <c r="R31" s="35"/>
      <c r="S31" s="35"/>
      <c r="T31" s="35"/>
      <c r="U31" s="35"/>
      <c r="V31" s="35"/>
      <c r="W31" s="35"/>
      <c r="X31" s="35"/>
      <c r="Y31" s="35"/>
    </row>
    <row r="32" spans="1:25" x14ac:dyDescent="0.25">
      <c r="A32" s="3">
        <v>29</v>
      </c>
      <c r="B32" s="36"/>
      <c r="C32" s="32">
        <v>0.2</v>
      </c>
      <c r="D32" s="32">
        <v>0.1</v>
      </c>
      <c r="E32" s="32">
        <v>0.1</v>
      </c>
      <c r="F32" s="33">
        <v>20</v>
      </c>
      <c r="G32" s="34">
        <v>52.85</v>
      </c>
      <c r="H32" s="34">
        <v>26.25</v>
      </c>
      <c r="I32" s="34">
        <v>49.9</v>
      </c>
      <c r="J32" s="34">
        <v>49.1</v>
      </c>
      <c r="K32" s="34">
        <v>46.599999999999994</v>
      </c>
      <c r="L32" s="34">
        <v>49.9</v>
      </c>
      <c r="M32" s="34">
        <v>49.1</v>
      </c>
      <c r="N32" s="34">
        <v>44.65</v>
      </c>
      <c r="O32" s="34">
        <v>51.4</v>
      </c>
      <c r="P32" s="34">
        <v>50.3</v>
      </c>
      <c r="Q32" s="34">
        <v>48.55</v>
      </c>
      <c r="R32" s="35"/>
      <c r="S32" s="35"/>
      <c r="T32" s="35"/>
      <c r="U32" s="35"/>
      <c r="V32" s="35"/>
      <c r="W32" s="35"/>
      <c r="X32" s="35"/>
      <c r="Y32" s="35"/>
    </row>
    <row r="33" spans="1:25" x14ac:dyDescent="0.25">
      <c r="A33" s="3">
        <v>30</v>
      </c>
      <c r="B33" s="36"/>
      <c r="C33" s="32">
        <v>0.2</v>
      </c>
      <c r="D33" s="32">
        <v>0.1</v>
      </c>
      <c r="E33" s="32">
        <v>0.1</v>
      </c>
      <c r="F33" s="33">
        <v>20</v>
      </c>
      <c r="G33" s="34">
        <v>52.85</v>
      </c>
      <c r="H33" s="34">
        <v>26.25</v>
      </c>
      <c r="I33" s="34">
        <v>49.9</v>
      </c>
      <c r="J33" s="34">
        <v>49.1</v>
      </c>
      <c r="K33" s="34">
        <v>46.599999999999994</v>
      </c>
      <c r="L33" s="34">
        <v>49.9</v>
      </c>
      <c r="M33" s="34">
        <v>49.1</v>
      </c>
      <c r="N33" s="34">
        <v>44.65</v>
      </c>
      <c r="O33" s="34">
        <v>51.4</v>
      </c>
      <c r="P33" s="34">
        <v>50.3</v>
      </c>
      <c r="Q33" s="34">
        <v>48.6</v>
      </c>
      <c r="R33" s="35"/>
      <c r="S33" s="35"/>
      <c r="T33" s="35"/>
      <c r="U33" s="35"/>
      <c r="V33" s="35"/>
      <c r="W33" s="35"/>
      <c r="X33" s="35"/>
      <c r="Y33" s="35"/>
    </row>
    <row r="34" spans="1:25" x14ac:dyDescent="0.25">
      <c r="A34" s="36"/>
      <c r="B34" s="36"/>
      <c r="C34" s="36"/>
      <c r="D34" s="36"/>
      <c r="E34" s="36"/>
      <c r="F34" s="37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5"/>
      <c r="S34" s="35"/>
      <c r="T34" s="35"/>
      <c r="U34" s="35"/>
      <c r="V34" s="35"/>
      <c r="W34" s="35"/>
      <c r="X34" s="35"/>
      <c r="Y34" s="35"/>
    </row>
    <row r="35" spans="1:25" x14ac:dyDescent="0.25">
      <c r="A35" s="3">
        <v>31</v>
      </c>
      <c r="B35" s="3" t="s">
        <v>50</v>
      </c>
      <c r="C35" s="32">
        <v>0.15</v>
      </c>
      <c r="D35" s="32">
        <v>9.7500000000000003E-2</v>
      </c>
      <c r="E35" s="32">
        <v>5.2499999999999991E-2</v>
      </c>
      <c r="F35" s="33">
        <v>15</v>
      </c>
      <c r="G35" s="34">
        <v>52.75</v>
      </c>
      <c r="H35" s="34">
        <v>25.85</v>
      </c>
      <c r="I35" s="34">
        <v>49.9</v>
      </c>
      <c r="J35" s="34">
        <v>49.1</v>
      </c>
      <c r="K35" s="34">
        <v>46.8</v>
      </c>
      <c r="L35" s="34">
        <v>49.7</v>
      </c>
      <c r="M35" s="34">
        <v>49.1</v>
      </c>
      <c r="N35" s="34">
        <v>44.85</v>
      </c>
      <c r="O35" s="34">
        <v>51.6</v>
      </c>
      <c r="P35" s="34">
        <v>50.3</v>
      </c>
      <c r="Q35" s="34">
        <v>48.6</v>
      </c>
      <c r="R35" s="35"/>
      <c r="S35" s="35"/>
      <c r="T35" s="35"/>
      <c r="U35" s="35"/>
      <c r="V35" s="35"/>
      <c r="W35" s="35"/>
      <c r="X35" s="35"/>
      <c r="Y35" s="35"/>
    </row>
    <row r="36" spans="1:25" x14ac:dyDescent="0.25">
      <c r="A36" s="3">
        <v>32</v>
      </c>
      <c r="B36" s="36"/>
      <c r="C36" s="32">
        <v>0.15</v>
      </c>
      <c r="D36" s="32">
        <v>9.7500000000000003E-2</v>
      </c>
      <c r="E36" s="32">
        <v>5.2499999999999991E-2</v>
      </c>
      <c r="F36" s="33">
        <v>15</v>
      </c>
      <c r="G36" s="34">
        <v>52.95</v>
      </c>
      <c r="H36" s="34">
        <v>25.95</v>
      </c>
      <c r="I36" s="34">
        <v>49.9</v>
      </c>
      <c r="J36" s="34">
        <v>49.1</v>
      </c>
      <c r="K36" s="34">
        <v>46.8</v>
      </c>
      <c r="L36" s="34">
        <v>49.7</v>
      </c>
      <c r="M36" s="34">
        <v>49.1</v>
      </c>
      <c r="N36" s="34">
        <v>44.85</v>
      </c>
      <c r="O36" s="34">
        <v>51.6</v>
      </c>
      <c r="P36" s="34">
        <v>50.3</v>
      </c>
      <c r="Q36" s="34">
        <v>48.6</v>
      </c>
      <c r="R36" s="35"/>
      <c r="S36" s="35"/>
      <c r="T36" s="35"/>
      <c r="U36" s="35"/>
      <c r="V36" s="35"/>
      <c r="W36" s="35"/>
      <c r="X36" s="35"/>
      <c r="Y36" s="35"/>
    </row>
    <row r="37" spans="1:25" x14ac:dyDescent="0.25">
      <c r="A37" s="3">
        <v>33</v>
      </c>
      <c r="B37" s="36"/>
      <c r="C37" s="32">
        <v>0.15</v>
      </c>
      <c r="D37" s="32">
        <v>9.7500000000000003E-2</v>
      </c>
      <c r="E37" s="32">
        <v>5.2499999999999991E-2</v>
      </c>
      <c r="F37" s="33">
        <v>15</v>
      </c>
      <c r="G37" s="34">
        <v>52.75</v>
      </c>
      <c r="H37" s="34">
        <v>25.95</v>
      </c>
      <c r="I37" s="34">
        <v>49.9</v>
      </c>
      <c r="J37" s="34">
        <v>49.1</v>
      </c>
      <c r="K37" s="34">
        <v>46.7</v>
      </c>
      <c r="L37" s="34">
        <v>49.7</v>
      </c>
      <c r="M37" s="34">
        <v>49.1</v>
      </c>
      <c r="N37" s="34">
        <v>44.85</v>
      </c>
      <c r="O37" s="34">
        <v>51.6</v>
      </c>
      <c r="P37" s="34">
        <v>50.3</v>
      </c>
      <c r="Q37" s="34">
        <v>48.5</v>
      </c>
      <c r="R37" s="35"/>
      <c r="S37" s="35"/>
      <c r="T37" s="35"/>
      <c r="U37" s="35"/>
      <c r="V37" s="35"/>
      <c r="W37" s="35"/>
      <c r="X37" s="35"/>
      <c r="Y37" s="35"/>
    </row>
    <row r="38" spans="1:25" x14ac:dyDescent="0.25">
      <c r="A38" s="3">
        <v>34</v>
      </c>
      <c r="B38" s="36"/>
      <c r="C38" s="32">
        <v>0.15</v>
      </c>
      <c r="D38" s="32">
        <v>9.7500000000000003E-2</v>
      </c>
      <c r="E38" s="32">
        <v>5.2499999999999991E-2</v>
      </c>
      <c r="F38" s="33">
        <v>15</v>
      </c>
      <c r="G38" s="34">
        <v>52.7</v>
      </c>
      <c r="H38" s="34">
        <v>25.95</v>
      </c>
      <c r="I38" s="34">
        <v>49.9</v>
      </c>
      <c r="J38" s="34">
        <v>49.1</v>
      </c>
      <c r="K38" s="34">
        <v>46.7</v>
      </c>
      <c r="L38" s="34">
        <v>49.7</v>
      </c>
      <c r="M38" s="34">
        <v>49.1</v>
      </c>
      <c r="N38" s="34">
        <v>44.85</v>
      </c>
      <c r="O38" s="34">
        <v>51.4</v>
      </c>
      <c r="P38" s="34">
        <v>50.3</v>
      </c>
      <c r="Q38" s="34">
        <v>48.5</v>
      </c>
      <c r="R38" s="35"/>
      <c r="S38" s="35"/>
      <c r="T38" s="35"/>
      <c r="U38" s="35"/>
      <c r="V38" s="35"/>
      <c r="W38" s="35"/>
      <c r="X38" s="35"/>
      <c r="Y38" s="35"/>
    </row>
    <row r="39" spans="1:25" x14ac:dyDescent="0.25">
      <c r="A39" s="3">
        <v>35</v>
      </c>
      <c r="B39" s="36"/>
      <c r="C39" s="32">
        <v>0.15</v>
      </c>
      <c r="D39" s="32">
        <v>9.7500000000000003E-2</v>
      </c>
      <c r="E39" s="32">
        <v>5.2499999999999991E-2</v>
      </c>
      <c r="F39" s="33">
        <v>15</v>
      </c>
      <c r="G39" s="34">
        <v>52.75</v>
      </c>
      <c r="H39" s="34">
        <v>25.95</v>
      </c>
      <c r="I39" s="34">
        <v>49.9</v>
      </c>
      <c r="J39" s="34">
        <v>49.1</v>
      </c>
      <c r="K39" s="34">
        <v>46.8</v>
      </c>
      <c r="L39" s="34">
        <v>49.7</v>
      </c>
      <c r="M39" s="34">
        <v>49.1</v>
      </c>
      <c r="N39" s="34">
        <v>44.85</v>
      </c>
      <c r="O39" s="34">
        <v>51.4</v>
      </c>
      <c r="P39" s="34">
        <v>50.3</v>
      </c>
      <c r="Q39" s="34">
        <v>48.5</v>
      </c>
      <c r="R39" s="35"/>
      <c r="S39" s="35"/>
      <c r="T39" s="35"/>
      <c r="U39" s="35"/>
      <c r="V39" s="35"/>
      <c r="W39" s="35"/>
      <c r="X39" s="35"/>
      <c r="Y39" s="35"/>
    </row>
    <row r="40" spans="1:25" x14ac:dyDescent="0.25">
      <c r="A40" s="3">
        <v>36</v>
      </c>
      <c r="B40" s="36"/>
      <c r="C40" s="32">
        <v>0.15</v>
      </c>
      <c r="D40" s="32">
        <v>9.7500000000000003E-2</v>
      </c>
      <c r="E40" s="32">
        <v>5.2499999999999991E-2</v>
      </c>
      <c r="F40" s="33">
        <v>15</v>
      </c>
      <c r="G40" s="34">
        <v>52.85</v>
      </c>
      <c r="H40" s="34">
        <v>25.95</v>
      </c>
      <c r="I40" s="34">
        <v>49.9</v>
      </c>
      <c r="J40" s="34">
        <v>49.1</v>
      </c>
      <c r="K40" s="34">
        <v>46.8</v>
      </c>
      <c r="L40" s="34">
        <v>49.7</v>
      </c>
      <c r="M40" s="34">
        <v>49.1</v>
      </c>
      <c r="N40" s="34">
        <v>44.85</v>
      </c>
      <c r="O40" s="34">
        <v>51.4</v>
      </c>
      <c r="P40" s="34">
        <v>50.3</v>
      </c>
      <c r="Q40" s="34">
        <v>48.5</v>
      </c>
      <c r="R40" s="35"/>
      <c r="S40" s="35"/>
      <c r="T40" s="35"/>
      <c r="U40" s="35"/>
      <c r="V40" s="35"/>
      <c r="W40" s="35"/>
      <c r="X40" s="35"/>
      <c r="Y40" s="35"/>
    </row>
    <row r="41" spans="1:25" x14ac:dyDescent="0.25">
      <c r="A41" s="3">
        <v>37</v>
      </c>
      <c r="B41" s="36"/>
      <c r="C41" s="32">
        <v>0.15</v>
      </c>
      <c r="D41" s="32">
        <v>9.7500000000000003E-2</v>
      </c>
      <c r="E41" s="32">
        <v>5.2499999999999991E-2</v>
      </c>
      <c r="F41" s="33">
        <v>15</v>
      </c>
      <c r="G41" s="34">
        <v>52.95</v>
      </c>
      <c r="H41" s="34">
        <v>25.95</v>
      </c>
      <c r="I41" s="34">
        <v>49.9</v>
      </c>
      <c r="J41" s="34">
        <v>49.1</v>
      </c>
      <c r="K41" s="34">
        <v>46.9</v>
      </c>
      <c r="L41" s="34">
        <v>49.7</v>
      </c>
      <c r="M41" s="34">
        <v>49.1</v>
      </c>
      <c r="N41" s="34">
        <v>44.85</v>
      </c>
      <c r="O41" s="34">
        <v>51.6</v>
      </c>
      <c r="P41" s="34">
        <v>50.3</v>
      </c>
      <c r="Q41" s="34">
        <v>48.6</v>
      </c>
      <c r="R41" s="35"/>
      <c r="S41" s="35"/>
      <c r="T41" s="35"/>
      <c r="U41" s="35"/>
      <c r="V41" s="35"/>
      <c r="W41" s="35"/>
      <c r="X41" s="35"/>
      <c r="Y41" s="35"/>
    </row>
    <row r="42" spans="1:25" x14ac:dyDescent="0.25">
      <c r="A42" s="3">
        <v>38</v>
      </c>
      <c r="B42" s="36"/>
      <c r="C42" s="32">
        <v>0.15</v>
      </c>
      <c r="D42" s="32">
        <v>9.7500000000000003E-2</v>
      </c>
      <c r="E42" s="32">
        <v>5.2499999999999991E-2</v>
      </c>
      <c r="F42" s="33">
        <v>15</v>
      </c>
      <c r="G42" s="34">
        <v>52.85</v>
      </c>
      <c r="H42" s="34">
        <v>25.95</v>
      </c>
      <c r="I42" s="34">
        <v>49.9</v>
      </c>
      <c r="J42" s="34">
        <v>49.1</v>
      </c>
      <c r="K42" s="34">
        <v>46.9</v>
      </c>
      <c r="L42" s="34">
        <v>49.7</v>
      </c>
      <c r="M42" s="34">
        <v>49.1</v>
      </c>
      <c r="N42" s="34">
        <v>44.95</v>
      </c>
      <c r="O42" s="34">
        <v>51.6</v>
      </c>
      <c r="P42" s="34">
        <v>50.3</v>
      </c>
      <c r="Q42" s="34">
        <v>48.6</v>
      </c>
      <c r="R42" s="35"/>
      <c r="S42" s="35"/>
      <c r="T42" s="35"/>
      <c r="U42" s="35"/>
      <c r="V42" s="35"/>
      <c r="W42" s="35"/>
      <c r="X42" s="35"/>
      <c r="Y42" s="35"/>
    </row>
    <row r="43" spans="1:25" x14ac:dyDescent="0.25">
      <c r="A43" s="3">
        <v>39</v>
      </c>
      <c r="B43" s="36"/>
      <c r="C43" s="32">
        <v>0.15</v>
      </c>
      <c r="D43" s="32">
        <v>9.7500000000000003E-2</v>
      </c>
      <c r="E43" s="32">
        <v>5.2499999999999991E-2</v>
      </c>
      <c r="F43" s="33">
        <v>15</v>
      </c>
      <c r="G43" s="34">
        <v>52.95</v>
      </c>
      <c r="H43" s="34">
        <v>25.95</v>
      </c>
      <c r="I43" s="34">
        <v>49.9</v>
      </c>
      <c r="J43" s="34">
        <v>49.1</v>
      </c>
      <c r="K43" s="34">
        <v>46.8</v>
      </c>
      <c r="L43" s="34">
        <v>49.7</v>
      </c>
      <c r="M43" s="34">
        <v>49.1</v>
      </c>
      <c r="N43" s="34">
        <v>44.85</v>
      </c>
      <c r="O43" s="34">
        <v>51.4</v>
      </c>
      <c r="P43" s="34">
        <v>50.3</v>
      </c>
      <c r="Q43" s="34">
        <v>48.5</v>
      </c>
      <c r="R43" s="35"/>
      <c r="S43" s="35"/>
      <c r="T43" s="35"/>
      <c r="U43" s="35"/>
      <c r="V43" s="35"/>
      <c r="W43" s="35"/>
      <c r="X43" s="35"/>
      <c r="Y43" s="35"/>
    </row>
    <row r="44" spans="1:25" x14ac:dyDescent="0.25">
      <c r="A44" s="3">
        <v>40</v>
      </c>
      <c r="B44" s="36"/>
      <c r="C44" s="32">
        <v>0.15</v>
      </c>
      <c r="D44" s="32">
        <v>9.7500000000000003E-2</v>
      </c>
      <c r="E44" s="32">
        <v>5.2499999999999991E-2</v>
      </c>
      <c r="F44" s="33">
        <v>15</v>
      </c>
      <c r="G44" s="34">
        <v>52.95</v>
      </c>
      <c r="H44" s="34">
        <v>25.95</v>
      </c>
      <c r="I44" s="34">
        <v>49.9</v>
      </c>
      <c r="J44" s="34">
        <v>49.1</v>
      </c>
      <c r="K44" s="34">
        <v>46.8</v>
      </c>
      <c r="L44" s="34">
        <v>49.7</v>
      </c>
      <c r="M44" s="34">
        <v>49.1</v>
      </c>
      <c r="N44" s="34">
        <v>44.85</v>
      </c>
      <c r="O44" s="34">
        <v>51.4</v>
      </c>
      <c r="P44" s="34">
        <v>50.3</v>
      </c>
      <c r="Q44" s="34">
        <v>48.5</v>
      </c>
      <c r="R44" s="35"/>
      <c r="S44" s="35"/>
      <c r="T44" s="35"/>
      <c r="U44" s="35"/>
      <c r="V44" s="35"/>
      <c r="W44" s="35"/>
      <c r="X44" s="35"/>
      <c r="Y44" s="35"/>
    </row>
    <row r="45" spans="1:25" x14ac:dyDescent="0.25">
      <c r="A45" s="36"/>
      <c r="B45" s="36"/>
      <c r="C45" s="36"/>
      <c r="D45" s="36"/>
      <c r="E45" s="36"/>
      <c r="F45" s="37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5"/>
      <c r="S45" s="35"/>
      <c r="T45" s="35"/>
      <c r="U45" s="35"/>
      <c r="V45" s="35"/>
      <c r="W45" s="35"/>
      <c r="X45" s="35"/>
      <c r="Y45" s="35"/>
    </row>
    <row r="46" spans="1:25" x14ac:dyDescent="0.25">
      <c r="A46" s="3">
        <v>41</v>
      </c>
      <c r="B46" s="3" t="s">
        <v>51</v>
      </c>
      <c r="C46" s="32">
        <v>0.14750000000000002</v>
      </c>
      <c r="D46" s="32">
        <v>0.13500000000000001</v>
      </c>
      <c r="E46" s="32">
        <v>1.2500000000000011E-2</v>
      </c>
      <c r="F46" s="33">
        <v>10</v>
      </c>
      <c r="G46" s="34">
        <v>52.099999999999994</v>
      </c>
      <c r="H46" s="34">
        <v>25.5</v>
      </c>
      <c r="I46" s="34">
        <v>49.9</v>
      </c>
      <c r="J46" s="34">
        <v>49.6</v>
      </c>
      <c r="K46" s="34">
        <v>46.9</v>
      </c>
      <c r="L46" s="34">
        <v>49.6</v>
      </c>
      <c r="M46" s="34">
        <v>49.4</v>
      </c>
      <c r="N46" s="34">
        <v>44.650000000000006</v>
      </c>
      <c r="O46" s="34">
        <v>51.6</v>
      </c>
      <c r="P46" s="34">
        <v>49.8</v>
      </c>
      <c r="Q46" s="34">
        <v>48</v>
      </c>
      <c r="R46" s="35"/>
      <c r="S46" s="35"/>
      <c r="T46" s="35"/>
      <c r="U46" s="35"/>
      <c r="V46" s="35"/>
      <c r="W46" s="35"/>
      <c r="X46" s="35"/>
      <c r="Y46" s="35"/>
    </row>
    <row r="47" spans="1:25" x14ac:dyDescent="0.25">
      <c r="A47" s="3">
        <v>42</v>
      </c>
      <c r="B47" s="36"/>
      <c r="C47" s="32">
        <v>0.14750000000000002</v>
      </c>
      <c r="D47" s="32">
        <v>0.13500000000000001</v>
      </c>
      <c r="E47" s="32">
        <v>1.2500000000000011E-2</v>
      </c>
      <c r="F47" s="33">
        <v>10</v>
      </c>
      <c r="G47" s="34">
        <v>52</v>
      </c>
      <c r="H47" s="34">
        <v>25.5</v>
      </c>
      <c r="I47" s="34">
        <v>49.8</v>
      </c>
      <c r="J47" s="34">
        <v>49.6</v>
      </c>
      <c r="K47" s="34">
        <v>46.5</v>
      </c>
      <c r="L47" s="34">
        <v>49.4</v>
      </c>
      <c r="M47" s="34">
        <v>49.4</v>
      </c>
      <c r="N47" s="34">
        <v>44.650000000000006</v>
      </c>
      <c r="O47" s="34">
        <v>51.6</v>
      </c>
      <c r="P47" s="34">
        <v>49.8</v>
      </c>
      <c r="Q47" s="34">
        <v>47.85</v>
      </c>
      <c r="R47" s="35"/>
      <c r="S47" s="35"/>
      <c r="T47" s="35"/>
      <c r="U47" s="35"/>
      <c r="V47" s="35"/>
      <c r="W47" s="35"/>
      <c r="X47" s="35"/>
      <c r="Y47" s="35"/>
    </row>
    <row r="48" spans="1:25" x14ac:dyDescent="0.25">
      <c r="A48" s="3">
        <v>43</v>
      </c>
      <c r="B48" s="36"/>
      <c r="C48" s="32">
        <v>0.14750000000000002</v>
      </c>
      <c r="D48" s="32">
        <v>0.13500000000000001</v>
      </c>
      <c r="E48" s="32">
        <v>1.2500000000000011E-2</v>
      </c>
      <c r="F48" s="33">
        <v>10</v>
      </c>
      <c r="G48" s="34">
        <v>51.900000000000006</v>
      </c>
      <c r="H48" s="34">
        <v>25.2</v>
      </c>
      <c r="I48" s="34">
        <v>49.8</v>
      </c>
      <c r="J48" s="34">
        <v>49.4</v>
      </c>
      <c r="K48" s="34">
        <v>46.4</v>
      </c>
      <c r="L48" s="34">
        <v>49.4</v>
      </c>
      <c r="M48" s="34">
        <v>49.4</v>
      </c>
      <c r="N48" s="34">
        <v>44.650000000000006</v>
      </c>
      <c r="O48" s="34">
        <v>51.6</v>
      </c>
      <c r="P48" s="34">
        <v>49.6</v>
      </c>
      <c r="Q48" s="34">
        <v>47.85</v>
      </c>
      <c r="R48" s="35"/>
      <c r="S48" s="35"/>
      <c r="T48" s="35"/>
      <c r="U48" s="35"/>
      <c r="V48" s="35"/>
      <c r="W48" s="35"/>
      <c r="X48" s="35"/>
      <c r="Y48" s="35"/>
    </row>
    <row r="49" spans="1:25" x14ac:dyDescent="0.25">
      <c r="A49" s="3">
        <v>44</v>
      </c>
      <c r="B49" s="36"/>
      <c r="C49" s="32">
        <v>0.14750000000000002</v>
      </c>
      <c r="D49" s="32">
        <v>0.13500000000000001</v>
      </c>
      <c r="E49" s="32">
        <v>1.2500000000000011E-2</v>
      </c>
      <c r="F49" s="33">
        <v>10</v>
      </c>
      <c r="G49" s="34">
        <v>51.900000000000006</v>
      </c>
      <c r="H49" s="34">
        <v>25.2</v>
      </c>
      <c r="I49" s="34">
        <v>49.8</v>
      </c>
      <c r="J49" s="34">
        <v>49.4</v>
      </c>
      <c r="K49" s="34">
        <v>46.3</v>
      </c>
      <c r="L49" s="34">
        <v>49.4</v>
      </c>
      <c r="M49" s="34">
        <v>49.2</v>
      </c>
      <c r="N49" s="34">
        <v>44.55</v>
      </c>
      <c r="O49" s="34">
        <v>51.6</v>
      </c>
      <c r="P49" s="34">
        <v>49.6</v>
      </c>
      <c r="Q49" s="34">
        <v>47.65</v>
      </c>
      <c r="R49" s="35"/>
      <c r="S49" s="35"/>
      <c r="T49" s="35"/>
      <c r="U49" s="35"/>
      <c r="V49" s="35"/>
      <c r="W49" s="35"/>
      <c r="X49" s="35"/>
      <c r="Y49" s="35"/>
    </row>
    <row r="50" spans="1:25" x14ac:dyDescent="0.25">
      <c r="A50" s="3">
        <v>45</v>
      </c>
      <c r="B50" s="36"/>
      <c r="C50" s="32">
        <v>0.14750000000000002</v>
      </c>
      <c r="D50" s="32">
        <v>0.13500000000000001</v>
      </c>
      <c r="E50" s="32">
        <v>1.2500000000000011E-2</v>
      </c>
      <c r="F50" s="33">
        <v>10</v>
      </c>
      <c r="G50" s="34">
        <v>51.900000000000006</v>
      </c>
      <c r="H50" s="34">
        <v>25.2</v>
      </c>
      <c r="I50" s="34">
        <v>49.8</v>
      </c>
      <c r="J50" s="34">
        <v>49.4</v>
      </c>
      <c r="K50" s="34">
        <v>46.400000000000006</v>
      </c>
      <c r="L50" s="34">
        <v>49.4</v>
      </c>
      <c r="M50" s="34">
        <v>49.2</v>
      </c>
      <c r="N50" s="34">
        <v>44.65</v>
      </c>
      <c r="O50" s="34">
        <v>51.6</v>
      </c>
      <c r="P50" s="34">
        <v>49.6</v>
      </c>
      <c r="Q50" s="34">
        <v>47.85</v>
      </c>
      <c r="R50" s="35"/>
      <c r="S50" s="35"/>
      <c r="T50" s="35"/>
      <c r="U50" s="35"/>
      <c r="V50" s="35"/>
      <c r="W50" s="35"/>
      <c r="X50" s="35"/>
      <c r="Y50" s="35"/>
    </row>
    <row r="51" spans="1:25" x14ac:dyDescent="0.25">
      <c r="A51" s="3">
        <v>46</v>
      </c>
      <c r="B51" s="36"/>
      <c r="C51" s="32">
        <v>0.14750000000000002</v>
      </c>
      <c r="D51" s="32">
        <v>0.13500000000000001</v>
      </c>
      <c r="E51" s="32">
        <v>1.2500000000000011E-2</v>
      </c>
      <c r="F51" s="33">
        <v>10</v>
      </c>
      <c r="G51" s="34">
        <v>52.099999999999994</v>
      </c>
      <c r="H51" s="34">
        <v>25.2</v>
      </c>
      <c r="I51" s="34">
        <v>49.8</v>
      </c>
      <c r="J51" s="34">
        <v>49.4</v>
      </c>
      <c r="K51" s="34">
        <v>46.3</v>
      </c>
      <c r="L51" s="34">
        <v>49.4</v>
      </c>
      <c r="M51" s="34">
        <v>49.2</v>
      </c>
      <c r="N51" s="34">
        <v>44.65</v>
      </c>
      <c r="O51" s="34">
        <v>51.6</v>
      </c>
      <c r="P51" s="34">
        <v>49.6</v>
      </c>
      <c r="Q51" s="34">
        <v>47.85</v>
      </c>
      <c r="R51" s="35"/>
      <c r="S51" s="35"/>
      <c r="T51" s="35"/>
      <c r="U51" s="35"/>
      <c r="V51" s="35"/>
      <c r="W51" s="35"/>
      <c r="X51" s="35"/>
      <c r="Y51" s="35"/>
    </row>
    <row r="52" spans="1:25" x14ac:dyDescent="0.25">
      <c r="A52" s="3">
        <v>47</v>
      </c>
      <c r="B52" s="36"/>
      <c r="C52" s="32">
        <v>0.14750000000000002</v>
      </c>
      <c r="D52" s="32">
        <v>0.13500000000000001</v>
      </c>
      <c r="E52" s="32">
        <v>1.2500000000000011E-2</v>
      </c>
      <c r="F52" s="33">
        <v>10</v>
      </c>
      <c r="G52" s="34">
        <v>52</v>
      </c>
      <c r="H52" s="34">
        <v>25.2</v>
      </c>
      <c r="I52" s="34">
        <v>49.8</v>
      </c>
      <c r="J52" s="34">
        <v>49.4</v>
      </c>
      <c r="K52" s="34">
        <v>46.3</v>
      </c>
      <c r="L52" s="34">
        <v>49.4</v>
      </c>
      <c r="M52" s="34">
        <v>49.2</v>
      </c>
      <c r="N52" s="34">
        <v>44.65</v>
      </c>
      <c r="O52" s="34">
        <v>51.6</v>
      </c>
      <c r="P52" s="34">
        <v>49.6</v>
      </c>
      <c r="Q52" s="34">
        <v>47.75</v>
      </c>
      <c r="R52" s="35"/>
      <c r="S52" s="35"/>
      <c r="T52" s="35"/>
      <c r="U52" s="35"/>
      <c r="V52" s="35"/>
      <c r="W52" s="35"/>
      <c r="X52" s="35"/>
      <c r="Y52" s="35"/>
    </row>
    <row r="53" spans="1:25" x14ac:dyDescent="0.25">
      <c r="A53" s="3">
        <v>48</v>
      </c>
      <c r="B53" s="36"/>
      <c r="C53" s="32">
        <v>0.14750000000000002</v>
      </c>
      <c r="D53" s="32">
        <v>0.13500000000000001</v>
      </c>
      <c r="E53" s="32">
        <v>1.2500000000000011E-2</v>
      </c>
      <c r="F53" s="33">
        <v>10</v>
      </c>
      <c r="G53" s="34">
        <v>52.099999999999994</v>
      </c>
      <c r="H53" s="34">
        <v>25.1</v>
      </c>
      <c r="I53" s="34">
        <v>49.8</v>
      </c>
      <c r="J53" s="34">
        <v>49.4</v>
      </c>
      <c r="K53" s="34">
        <v>46.3</v>
      </c>
      <c r="L53" s="34">
        <v>49.4</v>
      </c>
      <c r="M53" s="34">
        <v>49.2</v>
      </c>
      <c r="N53" s="34">
        <v>44.65</v>
      </c>
      <c r="O53" s="34">
        <v>51.6</v>
      </c>
      <c r="P53" s="34">
        <v>49.8</v>
      </c>
      <c r="Q53" s="34">
        <v>47.85</v>
      </c>
      <c r="R53" s="35"/>
      <c r="S53" s="35"/>
      <c r="T53" s="35"/>
      <c r="U53" s="35"/>
      <c r="V53" s="35"/>
      <c r="W53" s="35"/>
      <c r="X53" s="35"/>
      <c r="Y53" s="35"/>
    </row>
    <row r="54" spans="1:25" x14ac:dyDescent="0.25">
      <c r="A54" s="3">
        <v>49</v>
      </c>
      <c r="B54" s="36"/>
      <c r="C54" s="32">
        <v>0.14750000000000002</v>
      </c>
      <c r="D54" s="32">
        <v>0.13500000000000001</v>
      </c>
      <c r="E54" s="32">
        <v>1.2500000000000011E-2</v>
      </c>
      <c r="F54" s="33">
        <v>10</v>
      </c>
      <c r="G54" s="34">
        <v>52</v>
      </c>
      <c r="H54" s="34">
        <v>25</v>
      </c>
      <c r="I54" s="34">
        <v>49.8</v>
      </c>
      <c r="J54" s="34">
        <v>49.4</v>
      </c>
      <c r="K54" s="34">
        <v>46.400000000000006</v>
      </c>
      <c r="L54" s="34">
        <v>49.4</v>
      </c>
      <c r="M54" s="34">
        <v>49.2</v>
      </c>
      <c r="N54" s="34">
        <v>44.65</v>
      </c>
      <c r="O54" s="34">
        <v>51.6</v>
      </c>
      <c r="P54" s="34">
        <v>49.8</v>
      </c>
      <c r="Q54" s="34">
        <v>47.900000000000006</v>
      </c>
      <c r="R54" s="35"/>
      <c r="S54" s="35"/>
      <c r="T54" s="35"/>
      <c r="U54" s="35"/>
      <c r="V54" s="35"/>
      <c r="W54" s="35"/>
      <c r="X54" s="35"/>
      <c r="Y54" s="35"/>
    </row>
    <row r="55" spans="1:25" x14ac:dyDescent="0.25">
      <c r="A55" s="3">
        <v>50</v>
      </c>
      <c r="B55" s="36"/>
      <c r="C55" s="32">
        <v>0.14750000000000002</v>
      </c>
      <c r="D55" s="32">
        <v>0.13500000000000001</v>
      </c>
      <c r="E55" s="32">
        <v>1.2500000000000011E-2</v>
      </c>
      <c r="F55" s="33">
        <v>10</v>
      </c>
      <c r="G55" s="34">
        <v>52</v>
      </c>
      <c r="H55" s="34">
        <v>24.9</v>
      </c>
      <c r="I55" s="34">
        <v>49.8</v>
      </c>
      <c r="J55" s="34">
        <v>49.4</v>
      </c>
      <c r="K55" s="34">
        <v>46.400000000000006</v>
      </c>
      <c r="L55" s="34">
        <v>49.4</v>
      </c>
      <c r="M55" s="34">
        <v>49.2</v>
      </c>
      <c r="N55" s="34">
        <v>44.65</v>
      </c>
      <c r="O55" s="34">
        <v>51.6</v>
      </c>
      <c r="P55" s="34">
        <v>49.8</v>
      </c>
      <c r="Q55" s="34">
        <v>47.75</v>
      </c>
      <c r="R55" s="35"/>
      <c r="S55" s="35"/>
      <c r="T55" s="35"/>
      <c r="U55" s="35"/>
      <c r="V55" s="35"/>
      <c r="W55" s="35"/>
      <c r="X55" s="35"/>
      <c r="Y55" s="35"/>
    </row>
    <row r="56" spans="1:25" x14ac:dyDescent="0.25">
      <c r="A56" s="36"/>
      <c r="B56" s="36"/>
      <c r="C56" s="36"/>
      <c r="D56" s="36"/>
      <c r="E56" s="36"/>
      <c r="F56" s="37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5"/>
      <c r="S56" s="35"/>
      <c r="T56" s="35"/>
      <c r="U56" s="35"/>
      <c r="V56" s="35"/>
      <c r="W56" s="35"/>
      <c r="X56" s="35"/>
      <c r="Y56" s="35"/>
    </row>
    <row r="57" spans="1:25" x14ac:dyDescent="0.25">
      <c r="A57" s="3">
        <v>51</v>
      </c>
      <c r="B57" s="3" t="s">
        <v>52</v>
      </c>
      <c r="C57" s="32">
        <v>0.10500000000000001</v>
      </c>
      <c r="D57" s="32">
        <v>0.10500000000000001</v>
      </c>
      <c r="E57" s="32">
        <v>0</v>
      </c>
      <c r="F57" s="33">
        <v>5</v>
      </c>
      <c r="G57" s="34">
        <v>52.3</v>
      </c>
      <c r="H57" s="34">
        <v>26.1</v>
      </c>
      <c r="I57" s="34">
        <v>49.8</v>
      </c>
      <c r="J57" s="34">
        <v>49.4</v>
      </c>
      <c r="K57" s="34">
        <v>46.3</v>
      </c>
      <c r="L57" s="34">
        <v>49.4</v>
      </c>
      <c r="M57" s="34">
        <v>49.4</v>
      </c>
      <c r="N57" s="34">
        <v>44.55</v>
      </c>
      <c r="O57" s="34">
        <v>51.6</v>
      </c>
      <c r="P57" s="34">
        <v>49.6</v>
      </c>
      <c r="Q57" s="34">
        <v>48.1</v>
      </c>
      <c r="R57" s="35"/>
      <c r="S57" s="35"/>
      <c r="T57" s="35"/>
      <c r="U57" s="35"/>
      <c r="V57" s="35"/>
      <c r="W57" s="35"/>
      <c r="X57" s="35"/>
      <c r="Y57" s="35"/>
    </row>
    <row r="58" spans="1:25" x14ac:dyDescent="0.25">
      <c r="A58" s="3">
        <v>52</v>
      </c>
      <c r="B58" s="36"/>
      <c r="C58" s="32">
        <v>0.10500000000000001</v>
      </c>
      <c r="D58" s="32">
        <v>0.10500000000000001</v>
      </c>
      <c r="E58" s="32">
        <v>0</v>
      </c>
      <c r="F58" s="33">
        <v>5</v>
      </c>
      <c r="G58" s="34">
        <v>52.3</v>
      </c>
      <c r="H58" s="34">
        <v>26.2</v>
      </c>
      <c r="I58" s="34">
        <v>49.9</v>
      </c>
      <c r="J58" s="34">
        <v>49.5</v>
      </c>
      <c r="K58" s="34">
        <v>46.5</v>
      </c>
      <c r="L58" s="34">
        <v>49.5</v>
      </c>
      <c r="M58" s="34">
        <v>49.5</v>
      </c>
      <c r="N58" s="34">
        <v>44.75</v>
      </c>
      <c r="O58" s="34">
        <v>51.7</v>
      </c>
      <c r="P58" s="34">
        <v>49.7</v>
      </c>
      <c r="Q58" s="34">
        <v>48.3</v>
      </c>
      <c r="R58" s="35"/>
      <c r="S58" s="35"/>
      <c r="T58" s="35"/>
      <c r="U58" s="35"/>
      <c r="V58" s="35"/>
      <c r="W58" s="35"/>
      <c r="X58" s="35"/>
      <c r="Y58" s="35"/>
    </row>
    <row r="59" spans="1:25" x14ac:dyDescent="0.25">
      <c r="A59" s="3">
        <v>53</v>
      </c>
      <c r="B59" s="36"/>
      <c r="C59" s="32">
        <v>0.10500000000000001</v>
      </c>
      <c r="D59" s="32">
        <v>0.10500000000000001</v>
      </c>
      <c r="E59" s="32">
        <v>0</v>
      </c>
      <c r="F59" s="33">
        <v>5</v>
      </c>
      <c r="G59" s="34">
        <v>52.45</v>
      </c>
      <c r="H59" s="34">
        <v>26.2</v>
      </c>
      <c r="I59" s="34">
        <v>49.9</v>
      </c>
      <c r="J59" s="34">
        <v>49.5</v>
      </c>
      <c r="K59" s="34">
        <v>46.5</v>
      </c>
      <c r="L59" s="34">
        <v>49.5</v>
      </c>
      <c r="M59" s="34">
        <v>49.5</v>
      </c>
      <c r="N59" s="34">
        <v>44.65</v>
      </c>
      <c r="O59" s="34">
        <v>51.7</v>
      </c>
      <c r="P59" s="34">
        <v>49.7</v>
      </c>
      <c r="Q59" s="34">
        <v>48.3</v>
      </c>
      <c r="R59" s="35"/>
      <c r="S59" s="35"/>
      <c r="T59" s="35"/>
      <c r="U59" s="35"/>
      <c r="V59" s="35"/>
      <c r="W59" s="35"/>
      <c r="X59" s="35"/>
      <c r="Y59" s="35"/>
    </row>
    <row r="60" spans="1:25" x14ac:dyDescent="0.25">
      <c r="A60" s="3">
        <v>54</v>
      </c>
      <c r="B60" s="36"/>
      <c r="C60" s="32">
        <v>0.10500000000000001</v>
      </c>
      <c r="D60" s="32">
        <v>0.10500000000000001</v>
      </c>
      <c r="E60" s="32">
        <v>0</v>
      </c>
      <c r="F60" s="33">
        <v>5</v>
      </c>
      <c r="G60" s="34">
        <v>52.45</v>
      </c>
      <c r="H60" s="34">
        <v>26.2</v>
      </c>
      <c r="I60" s="34">
        <v>49.9</v>
      </c>
      <c r="J60" s="34">
        <v>49.5</v>
      </c>
      <c r="K60" s="34">
        <v>46.3</v>
      </c>
      <c r="L60" s="34">
        <v>49.5</v>
      </c>
      <c r="M60" s="34">
        <v>49.5</v>
      </c>
      <c r="N60" s="34">
        <v>44.65</v>
      </c>
      <c r="O60" s="34">
        <v>51.7</v>
      </c>
      <c r="P60" s="34">
        <v>49.7</v>
      </c>
      <c r="Q60" s="34">
        <v>48.2</v>
      </c>
      <c r="R60" s="35"/>
      <c r="S60" s="35"/>
      <c r="T60" s="35"/>
      <c r="U60" s="35"/>
      <c r="V60" s="35"/>
      <c r="W60" s="35"/>
      <c r="X60" s="35"/>
      <c r="Y60" s="35"/>
    </row>
    <row r="61" spans="1:25" x14ac:dyDescent="0.25">
      <c r="A61" s="3">
        <v>55</v>
      </c>
      <c r="B61" s="36"/>
      <c r="C61" s="32">
        <v>0.10500000000000001</v>
      </c>
      <c r="D61" s="32">
        <v>0.10500000000000001</v>
      </c>
      <c r="E61" s="32">
        <v>0</v>
      </c>
      <c r="F61" s="33">
        <v>5</v>
      </c>
      <c r="G61" s="34">
        <v>52.2</v>
      </c>
      <c r="H61" s="34">
        <v>26.2</v>
      </c>
      <c r="I61" s="34">
        <v>49.9</v>
      </c>
      <c r="J61" s="34">
        <v>49.5</v>
      </c>
      <c r="K61" s="34">
        <v>46.400000000000006</v>
      </c>
      <c r="L61" s="34">
        <v>49.5</v>
      </c>
      <c r="M61" s="34">
        <v>49.5</v>
      </c>
      <c r="N61" s="34">
        <v>44.65</v>
      </c>
      <c r="O61" s="34">
        <v>51.7</v>
      </c>
      <c r="P61" s="34">
        <v>49.7</v>
      </c>
      <c r="Q61" s="34">
        <v>48.3</v>
      </c>
      <c r="R61" s="35"/>
      <c r="S61" s="35"/>
      <c r="T61" s="35"/>
      <c r="U61" s="35"/>
      <c r="V61" s="35"/>
      <c r="W61" s="35"/>
      <c r="X61" s="35"/>
      <c r="Y61" s="35"/>
    </row>
    <row r="62" spans="1:25" x14ac:dyDescent="0.25">
      <c r="A62" s="3">
        <v>56</v>
      </c>
      <c r="B62" s="36"/>
      <c r="C62" s="32">
        <v>0.10500000000000001</v>
      </c>
      <c r="D62" s="32">
        <v>0.10500000000000001</v>
      </c>
      <c r="E62" s="32">
        <v>0</v>
      </c>
      <c r="F62" s="33">
        <v>5</v>
      </c>
      <c r="G62" s="34">
        <v>52</v>
      </c>
      <c r="H62" s="34">
        <v>26.2</v>
      </c>
      <c r="I62" s="34">
        <v>49.7</v>
      </c>
      <c r="J62" s="34">
        <v>49.3</v>
      </c>
      <c r="K62" s="34">
        <v>46.2</v>
      </c>
      <c r="L62" s="34">
        <v>49.5</v>
      </c>
      <c r="M62" s="34">
        <v>49.5</v>
      </c>
      <c r="N62" s="34">
        <v>44.55</v>
      </c>
      <c r="O62" s="34">
        <v>51.7</v>
      </c>
      <c r="P62" s="34">
        <v>49.7</v>
      </c>
      <c r="Q62" s="34">
        <v>48.2</v>
      </c>
      <c r="R62" s="35"/>
      <c r="S62" s="35"/>
      <c r="T62" s="35"/>
      <c r="U62" s="35"/>
      <c r="V62" s="35"/>
      <c r="W62" s="35"/>
      <c r="X62" s="35"/>
      <c r="Y62" s="35"/>
    </row>
    <row r="63" spans="1:25" x14ac:dyDescent="0.25">
      <c r="A63" s="3">
        <v>57</v>
      </c>
      <c r="B63" s="36"/>
      <c r="C63" s="32">
        <v>0.10500000000000001</v>
      </c>
      <c r="D63" s="32">
        <v>0.10500000000000001</v>
      </c>
      <c r="E63" s="32">
        <v>0</v>
      </c>
      <c r="F63" s="33">
        <v>5</v>
      </c>
      <c r="G63" s="34">
        <v>52.099999999999994</v>
      </c>
      <c r="H63" s="34">
        <v>26.2</v>
      </c>
      <c r="I63" s="34">
        <v>49.7</v>
      </c>
      <c r="J63" s="34">
        <v>49.3</v>
      </c>
      <c r="K63" s="34">
        <v>46.2</v>
      </c>
      <c r="L63" s="34">
        <v>49.5</v>
      </c>
      <c r="M63" s="34">
        <v>49.5</v>
      </c>
      <c r="N63" s="34">
        <v>44.55</v>
      </c>
      <c r="O63" s="34">
        <v>51.7</v>
      </c>
      <c r="P63" s="34">
        <v>49.6</v>
      </c>
      <c r="Q63" s="34">
        <v>48.1</v>
      </c>
      <c r="R63" s="35"/>
      <c r="S63" s="35"/>
      <c r="T63" s="35"/>
      <c r="U63" s="35"/>
      <c r="V63" s="35"/>
      <c r="W63" s="35"/>
      <c r="X63" s="35"/>
      <c r="Y63" s="35"/>
    </row>
    <row r="64" spans="1:25" x14ac:dyDescent="0.25">
      <c r="A64" s="3">
        <v>58</v>
      </c>
      <c r="B64" s="36"/>
      <c r="C64" s="32">
        <v>0.10500000000000001</v>
      </c>
      <c r="D64" s="32">
        <v>0.10500000000000001</v>
      </c>
      <c r="E64" s="32">
        <v>0</v>
      </c>
      <c r="F64" s="33">
        <v>5</v>
      </c>
      <c r="G64" s="34">
        <v>52.45</v>
      </c>
      <c r="H64" s="34">
        <v>26.3</v>
      </c>
      <c r="I64" s="34">
        <v>49.8</v>
      </c>
      <c r="J64" s="34">
        <v>49.4</v>
      </c>
      <c r="K64" s="34">
        <v>46.400000000000006</v>
      </c>
      <c r="L64" s="34">
        <v>49.6</v>
      </c>
      <c r="M64" s="34">
        <v>49.4</v>
      </c>
      <c r="N64" s="34">
        <v>44.65</v>
      </c>
      <c r="O64" s="34">
        <v>51.6</v>
      </c>
      <c r="P64" s="34">
        <v>49.6</v>
      </c>
      <c r="Q64" s="34">
        <v>48.3</v>
      </c>
      <c r="R64" s="35"/>
      <c r="S64" s="35"/>
      <c r="T64" s="35"/>
      <c r="U64" s="35"/>
      <c r="V64" s="35"/>
      <c r="W64" s="35"/>
      <c r="X64" s="35"/>
      <c r="Y64" s="35"/>
    </row>
    <row r="65" spans="1:25" x14ac:dyDescent="0.25">
      <c r="A65" s="3">
        <v>59</v>
      </c>
      <c r="B65" s="36"/>
      <c r="C65" s="32">
        <v>0.10500000000000001</v>
      </c>
      <c r="D65" s="32">
        <v>0.10500000000000001</v>
      </c>
      <c r="E65" s="32">
        <v>0</v>
      </c>
      <c r="F65" s="33">
        <v>5</v>
      </c>
      <c r="G65" s="34">
        <v>52.2</v>
      </c>
      <c r="H65" s="34">
        <v>26.3</v>
      </c>
      <c r="I65" s="34">
        <v>49.8</v>
      </c>
      <c r="J65" s="34">
        <v>49.4</v>
      </c>
      <c r="K65" s="34">
        <v>46.6</v>
      </c>
      <c r="L65" s="34">
        <v>49.6</v>
      </c>
      <c r="M65" s="34">
        <v>49.4</v>
      </c>
      <c r="N65" s="34">
        <v>44.65</v>
      </c>
      <c r="O65" s="34">
        <v>51.6</v>
      </c>
      <c r="P65" s="34">
        <v>49.6</v>
      </c>
      <c r="Q65" s="34">
        <v>48.3</v>
      </c>
      <c r="R65" s="35"/>
      <c r="S65" s="35"/>
      <c r="T65" s="35"/>
      <c r="U65" s="35"/>
      <c r="V65" s="35"/>
      <c r="W65" s="35"/>
      <c r="X65" s="35"/>
      <c r="Y65" s="35"/>
    </row>
    <row r="66" spans="1:25" x14ac:dyDescent="0.25">
      <c r="A66" s="3">
        <v>60</v>
      </c>
      <c r="B66" s="36"/>
      <c r="C66" s="32">
        <v>0.10500000000000001</v>
      </c>
      <c r="D66" s="32">
        <v>0.10500000000000001</v>
      </c>
      <c r="E66" s="32">
        <v>0</v>
      </c>
      <c r="F66" s="33">
        <v>5</v>
      </c>
      <c r="G66" s="34">
        <v>52.35</v>
      </c>
      <c r="H66" s="34">
        <v>26.3</v>
      </c>
      <c r="I66" s="34">
        <v>49.8</v>
      </c>
      <c r="J66" s="34">
        <v>49.4</v>
      </c>
      <c r="K66" s="34">
        <v>46.5</v>
      </c>
      <c r="L66" s="34">
        <v>49.6</v>
      </c>
      <c r="M66" s="34">
        <v>49.4</v>
      </c>
      <c r="N66" s="34">
        <v>44.75</v>
      </c>
      <c r="O66" s="34">
        <v>51.6</v>
      </c>
      <c r="P66" s="34">
        <v>49.6</v>
      </c>
      <c r="Q66" s="34">
        <v>48.3</v>
      </c>
      <c r="R66" s="35"/>
      <c r="S66" s="35"/>
      <c r="T66" s="35"/>
      <c r="U66" s="35"/>
      <c r="V66" s="35"/>
      <c r="W66" s="35"/>
      <c r="X66" s="35"/>
      <c r="Y66" s="35"/>
    </row>
    <row r="67" spans="1:25" x14ac:dyDescent="0.25">
      <c r="A67" s="36"/>
      <c r="B67" s="36"/>
      <c r="C67" s="36"/>
      <c r="D67" s="36"/>
      <c r="E67" s="36"/>
      <c r="F67" s="37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5"/>
      <c r="S67" s="35"/>
      <c r="T67" s="35"/>
      <c r="U67" s="35"/>
      <c r="V67" s="35"/>
      <c r="W67" s="35"/>
      <c r="X67" s="35"/>
      <c r="Y67" s="35"/>
    </row>
    <row r="68" spans="1:25" x14ac:dyDescent="0.25">
      <c r="A68" s="3">
        <v>61</v>
      </c>
      <c r="B68" s="3" t="s">
        <v>53</v>
      </c>
      <c r="C68" s="32">
        <v>0.36249999999999999</v>
      </c>
      <c r="D68" s="32">
        <v>0.1125</v>
      </c>
      <c r="E68" s="32">
        <v>0.25</v>
      </c>
      <c r="F68" s="33">
        <v>25</v>
      </c>
      <c r="G68" s="34">
        <v>52.8</v>
      </c>
      <c r="H68" s="34">
        <v>27.65</v>
      </c>
      <c r="I68" s="34">
        <v>49.8</v>
      </c>
      <c r="J68" s="34">
        <v>48.8</v>
      </c>
      <c r="K68" s="34">
        <v>46.5</v>
      </c>
      <c r="L68" s="34">
        <v>49.8</v>
      </c>
      <c r="M68" s="34">
        <v>48.6</v>
      </c>
      <c r="N68" s="34">
        <v>44.6</v>
      </c>
      <c r="O68" s="38"/>
      <c r="P68" s="38"/>
      <c r="Q68" s="38"/>
      <c r="R68" s="35"/>
      <c r="S68" s="35"/>
      <c r="T68" s="35"/>
      <c r="U68" s="35"/>
      <c r="V68" s="35"/>
      <c r="W68" s="35"/>
      <c r="X68" s="35"/>
      <c r="Y68" s="35"/>
    </row>
    <row r="69" spans="1:25" x14ac:dyDescent="0.25">
      <c r="A69" s="3">
        <v>62</v>
      </c>
      <c r="B69" s="36"/>
      <c r="C69" s="32">
        <v>0.36249999999999999</v>
      </c>
      <c r="D69" s="32">
        <v>0.1125</v>
      </c>
      <c r="E69" s="32">
        <v>0.25</v>
      </c>
      <c r="F69" s="33">
        <v>25</v>
      </c>
      <c r="G69" s="34">
        <v>52.8</v>
      </c>
      <c r="H69" s="34">
        <v>27.65</v>
      </c>
      <c r="I69" s="34">
        <v>49.8</v>
      </c>
      <c r="J69" s="34">
        <v>48.8</v>
      </c>
      <c r="K69" s="34">
        <v>46.5</v>
      </c>
      <c r="L69" s="34">
        <v>49.8</v>
      </c>
      <c r="M69" s="34">
        <v>48.6</v>
      </c>
      <c r="N69" s="34">
        <v>44.6</v>
      </c>
      <c r="O69" s="38"/>
      <c r="P69" s="38"/>
      <c r="Q69" s="38"/>
      <c r="R69" s="35"/>
      <c r="S69" s="35"/>
      <c r="T69" s="35"/>
      <c r="U69" s="35"/>
      <c r="V69" s="35"/>
      <c r="W69" s="35"/>
      <c r="X69" s="35"/>
      <c r="Y69" s="35"/>
    </row>
    <row r="70" spans="1:25" x14ac:dyDescent="0.25">
      <c r="A70" s="3">
        <v>63</v>
      </c>
      <c r="B70" s="36"/>
      <c r="C70" s="32">
        <v>0.36249999999999999</v>
      </c>
      <c r="D70" s="32">
        <v>0.1125</v>
      </c>
      <c r="E70" s="32">
        <v>0.25</v>
      </c>
      <c r="F70" s="33">
        <v>25</v>
      </c>
      <c r="G70" s="34">
        <v>52.8</v>
      </c>
      <c r="H70" s="34">
        <v>27.65</v>
      </c>
      <c r="I70" s="34">
        <v>49.8</v>
      </c>
      <c r="J70" s="34">
        <v>48.8</v>
      </c>
      <c r="K70" s="34">
        <v>46.7</v>
      </c>
      <c r="L70" s="34">
        <v>49.8</v>
      </c>
      <c r="M70" s="34">
        <v>48.8</v>
      </c>
      <c r="N70" s="34">
        <v>44.8</v>
      </c>
      <c r="O70" s="38"/>
      <c r="P70" s="38"/>
      <c r="Q70" s="38"/>
      <c r="R70" s="35"/>
      <c r="S70" s="35"/>
      <c r="T70" s="35"/>
      <c r="U70" s="35"/>
      <c r="V70" s="35"/>
      <c r="W70" s="35"/>
      <c r="X70" s="35"/>
      <c r="Y70" s="35"/>
    </row>
    <row r="71" spans="1:25" x14ac:dyDescent="0.25">
      <c r="A71" s="3">
        <v>64</v>
      </c>
      <c r="B71" s="36"/>
      <c r="C71" s="32">
        <v>0.36249999999999999</v>
      </c>
      <c r="D71" s="32">
        <v>0.1125</v>
      </c>
      <c r="E71" s="32">
        <v>0.25</v>
      </c>
      <c r="F71" s="33">
        <v>25</v>
      </c>
      <c r="G71" s="34">
        <v>52.8</v>
      </c>
      <c r="H71" s="34">
        <v>27.65</v>
      </c>
      <c r="I71" s="34">
        <v>49.8</v>
      </c>
      <c r="J71" s="34">
        <v>48.8</v>
      </c>
      <c r="K71" s="34">
        <v>46.6</v>
      </c>
      <c r="L71" s="34">
        <v>49.8</v>
      </c>
      <c r="M71" s="34">
        <v>48.8</v>
      </c>
      <c r="N71" s="34">
        <v>44.8</v>
      </c>
      <c r="O71" s="38"/>
      <c r="P71" s="38"/>
      <c r="Q71" s="38"/>
      <c r="R71" s="35"/>
      <c r="S71" s="35"/>
      <c r="T71" s="35"/>
      <c r="U71" s="35"/>
      <c r="V71" s="35"/>
      <c r="W71" s="35"/>
      <c r="X71" s="35"/>
      <c r="Y71" s="35"/>
    </row>
    <row r="72" spans="1:25" x14ac:dyDescent="0.25">
      <c r="A72" s="3">
        <v>65</v>
      </c>
      <c r="B72" s="36"/>
      <c r="C72" s="32">
        <v>0.36249999999999999</v>
      </c>
      <c r="D72" s="32">
        <v>0.1125</v>
      </c>
      <c r="E72" s="32">
        <v>0.25</v>
      </c>
      <c r="F72" s="33">
        <v>25</v>
      </c>
      <c r="G72" s="34">
        <v>52.65</v>
      </c>
      <c r="H72" s="34">
        <v>27.55</v>
      </c>
      <c r="I72" s="34">
        <v>49.7</v>
      </c>
      <c r="J72" s="34">
        <v>48.7</v>
      </c>
      <c r="K72" s="34">
        <v>46.6</v>
      </c>
      <c r="L72" s="34">
        <v>49.7</v>
      </c>
      <c r="M72" s="34">
        <v>48.7</v>
      </c>
      <c r="N72" s="34">
        <v>44.7</v>
      </c>
      <c r="O72" s="38"/>
      <c r="P72" s="38"/>
      <c r="Q72" s="38"/>
      <c r="R72" s="35"/>
      <c r="S72" s="35"/>
      <c r="T72" s="35"/>
      <c r="U72" s="35"/>
      <c r="V72" s="35"/>
      <c r="W72" s="35"/>
      <c r="X72" s="35"/>
      <c r="Y72" s="35"/>
    </row>
    <row r="73" spans="1:25" x14ac:dyDescent="0.25">
      <c r="A73" s="3">
        <v>66</v>
      </c>
      <c r="B73" s="36"/>
      <c r="C73" s="32">
        <v>0.36249999999999999</v>
      </c>
      <c r="D73" s="32">
        <v>0.1125</v>
      </c>
      <c r="E73" s="32">
        <v>0.25</v>
      </c>
      <c r="F73" s="33">
        <v>25</v>
      </c>
      <c r="G73" s="34">
        <v>52.75</v>
      </c>
      <c r="H73" s="34">
        <v>27.55</v>
      </c>
      <c r="I73" s="34">
        <v>49.7</v>
      </c>
      <c r="J73" s="34">
        <v>48.7</v>
      </c>
      <c r="K73" s="34">
        <v>46.6</v>
      </c>
      <c r="L73" s="34">
        <v>49.7</v>
      </c>
      <c r="M73" s="34">
        <v>48.7</v>
      </c>
      <c r="N73" s="34">
        <v>44.7</v>
      </c>
      <c r="O73" s="38"/>
      <c r="P73" s="38"/>
      <c r="Q73" s="38"/>
      <c r="R73" s="35"/>
      <c r="S73" s="35"/>
      <c r="T73" s="35"/>
      <c r="U73" s="35"/>
      <c r="V73" s="35"/>
      <c r="W73" s="35"/>
      <c r="X73" s="35"/>
      <c r="Y73" s="35"/>
    </row>
    <row r="74" spans="1:25" x14ac:dyDescent="0.25">
      <c r="A74" s="3">
        <v>67</v>
      </c>
      <c r="B74" s="36"/>
      <c r="C74" s="32">
        <v>0.36249999999999999</v>
      </c>
      <c r="D74" s="32">
        <v>0.1125</v>
      </c>
      <c r="E74" s="32">
        <v>0.25</v>
      </c>
      <c r="F74" s="33">
        <v>25</v>
      </c>
      <c r="G74" s="34">
        <v>52.75</v>
      </c>
      <c r="H74" s="34">
        <v>27.5</v>
      </c>
      <c r="I74" s="34">
        <v>49.7</v>
      </c>
      <c r="J74" s="34">
        <v>48.7</v>
      </c>
      <c r="K74" s="34">
        <v>46.6</v>
      </c>
      <c r="L74" s="34">
        <v>49.7</v>
      </c>
      <c r="M74" s="34">
        <v>48.7</v>
      </c>
      <c r="N74" s="34">
        <v>44.7</v>
      </c>
      <c r="O74" s="38"/>
      <c r="P74" s="38"/>
      <c r="Q74" s="38"/>
      <c r="R74" s="35"/>
      <c r="S74" s="35"/>
      <c r="T74" s="35"/>
      <c r="U74" s="35"/>
      <c r="V74" s="35"/>
      <c r="W74" s="35"/>
      <c r="X74" s="35"/>
      <c r="Y74" s="35"/>
    </row>
    <row r="75" spans="1:25" x14ac:dyDescent="0.25">
      <c r="A75" s="3">
        <v>68</v>
      </c>
      <c r="B75" s="36"/>
      <c r="C75" s="32">
        <v>0.36249999999999999</v>
      </c>
      <c r="D75" s="32">
        <v>0.1125</v>
      </c>
      <c r="E75" s="32">
        <v>0.25</v>
      </c>
      <c r="F75" s="33">
        <v>25</v>
      </c>
      <c r="G75" s="34">
        <v>52.75</v>
      </c>
      <c r="H75" s="34">
        <v>27.5</v>
      </c>
      <c r="I75" s="34">
        <v>49.7</v>
      </c>
      <c r="J75" s="34">
        <v>48.7</v>
      </c>
      <c r="K75" s="34">
        <v>46.4</v>
      </c>
      <c r="L75" s="34">
        <v>49.7</v>
      </c>
      <c r="M75" s="34">
        <v>48.7</v>
      </c>
      <c r="N75" s="34">
        <v>44.6</v>
      </c>
      <c r="O75" s="38"/>
      <c r="P75" s="38"/>
      <c r="Q75" s="38"/>
      <c r="R75" s="35"/>
      <c r="S75" s="35"/>
      <c r="T75" s="35"/>
      <c r="U75" s="35"/>
      <c r="V75" s="35"/>
      <c r="W75" s="35"/>
      <c r="X75" s="35"/>
      <c r="Y75" s="35"/>
    </row>
    <row r="76" spans="1:25" x14ac:dyDescent="0.25">
      <c r="A76" s="3">
        <v>69</v>
      </c>
      <c r="B76" s="36"/>
      <c r="C76" s="32">
        <v>0.36249999999999999</v>
      </c>
      <c r="D76" s="32">
        <v>0.1125</v>
      </c>
      <c r="E76" s="32">
        <v>0.25</v>
      </c>
      <c r="F76" s="33">
        <v>25</v>
      </c>
      <c r="G76" s="34">
        <v>52.8</v>
      </c>
      <c r="H76" s="34">
        <v>27.5</v>
      </c>
      <c r="I76" s="34">
        <v>49.9</v>
      </c>
      <c r="J76" s="34">
        <v>48.7</v>
      </c>
      <c r="K76" s="34">
        <v>46.650000000000006</v>
      </c>
      <c r="L76" s="34">
        <v>49.9</v>
      </c>
      <c r="M76" s="34">
        <v>48.7</v>
      </c>
      <c r="N76" s="34">
        <v>44.7</v>
      </c>
      <c r="O76" s="38"/>
      <c r="P76" s="38"/>
      <c r="Q76" s="38"/>
      <c r="R76" s="35"/>
      <c r="S76" s="35"/>
      <c r="T76" s="35"/>
      <c r="U76" s="35"/>
      <c r="V76" s="35"/>
      <c r="W76" s="35"/>
      <c r="X76" s="35"/>
      <c r="Y76" s="35"/>
    </row>
    <row r="77" spans="1:25" x14ac:dyDescent="0.25">
      <c r="A77" s="3">
        <v>70</v>
      </c>
      <c r="B77" s="36"/>
      <c r="C77" s="32">
        <v>0.36249999999999999</v>
      </c>
      <c r="D77" s="32">
        <v>0.1125</v>
      </c>
      <c r="E77" s="32">
        <v>0.25</v>
      </c>
      <c r="F77" s="33">
        <v>25</v>
      </c>
      <c r="G77" s="34">
        <v>52.7</v>
      </c>
      <c r="H77" s="34">
        <v>27.4</v>
      </c>
      <c r="I77" s="34">
        <v>49.8</v>
      </c>
      <c r="J77" s="34">
        <v>48.6</v>
      </c>
      <c r="K77" s="34">
        <v>46.5</v>
      </c>
      <c r="L77" s="34">
        <v>49.8</v>
      </c>
      <c r="M77" s="34">
        <v>48.6</v>
      </c>
      <c r="N77" s="34">
        <v>44.6</v>
      </c>
      <c r="O77" s="38"/>
      <c r="P77" s="38"/>
      <c r="Q77" s="38"/>
      <c r="R77" s="35"/>
      <c r="S77" s="35"/>
      <c r="T77" s="35"/>
      <c r="U77" s="35"/>
      <c r="V77" s="35"/>
      <c r="W77" s="35"/>
      <c r="X77" s="35"/>
      <c r="Y77" s="35"/>
    </row>
    <row r="78" spans="1:25" x14ac:dyDescent="0.25">
      <c r="A78" s="36"/>
      <c r="B78" s="36"/>
      <c r="C78" s="39"/>
      <c r="D78" s="39"/>
      <c r="E78" s="39"/>
      <c r="F78" s="37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5"/>
      <c r="S78" s="35"/>
      <c r="T78" s="35"/>
      <c r="U78" s="35"/>
      <c r="V78" s="35"/>
      <c r="W78" s="35"/>
      <c r="X78" s="35"/>
      <c r="Y78" s="35"/>
    </row>
    <row r="79" spans="1:25" x14ac:dyDescent="0.25">
      <c r="A79" s="3">
        <v>71</v>
      </c>
      <c r="B79" s="3" t="s">
        <v>54</v>
      </c>
      <c r="C79" s="32">
        <v>0.33250000000000002</v>
      </c>
      <c r="D79" s="32">
        <v>0.1</v>
      </c>
      <c r="E79" s="32">
        <v>0.23250000000000001</v>
      </c>
      <c r="F79" s="33">
        <v>20</v>
      </c>
      <c r="G79" s="34">
        <v>51.2</v>
      </c>
      <c r="H79" s="34">
        <v>26.7</v>
      </c>
      <c r="I79" s="34">
        <v>50.3</v>
      </c>
      <c r="J79" s="34">
        <v>49.9</v>
      </c>
      <c r="K79" s="34">
        <v>49.8</v>
      </c>
      <c r="L79" s="34">
        <v>50.5</v>
      </c>
      <c r="M79" s="34">
        <v>50.3</v>
      </c>
      <c r="N79" s="34">
        <v>49.25</v>
      </c>
      <c r="O79" s="40"/>
      <c r="P79" s="40"/>
      <c r="Q79" s="40"/>
      <c r="S79" s="35"/>
      <c r="T79" s="35"/>
      <c r="U79" s="35"/>
      <c r="V79" s="35"/>
      <c r="W79" s="35"/>
      <c r="X79" s="35"/>
      <c r="Y79" s="35"/>
    </row>
    <row r="80" spans="1:25" x14ac:dyDescent="0.25">
      <c r="A80" s="3">
        <v>72</v>
      </c>
      <c r="B80" s="36"/>
      <c r="C80" s="32">
        <v>0.33250000000000002</v>
      </c>
      <c r="D80" s="32">
        <v>0.1</v>
      </c>
      <c r="E80" s="32">
        <v>0.23250000000000001</v>
      </c>
      <c r="F80" s="33">
        <v>20</v>
      </c>
      <c r="G80" s="34">
        <v>51.6</v>
      </c>
      <c r="H80" s="34">
        <v>26.7</v>
      </c>
      <c r="I80" s="34">
        <v>50.6</v>
      </c>
      <c r="J80" s="34">
        <v>50.2</v>
      </c>
      <c r="K80" s="34">
        <v>50.1</v>
      </c>
      <c r="L80" s="34">
        <v>50.8</v>
      </c>
      <c r="M80" s="34">
        <v>50.4</v>
      </c>
      <c r="N80" s="34">
        <v>49.599999999999994</v>
      </c>
      <c r="O80" s="40"/>
      <c r="P80" s="40"/>
      <c r="Q80" s="40"/>
      <c r="S80" s="35"/>
      <c r="T80" s="35"/>
      <c r="U80" s="35"/>
      <c r="V80" s="35"/>
      <c r="W80" s="35"/>
      <c r="X80" s="35"/>
      <c r="Y80" s="35"/>
    </row>
    <row r="81" spans="1:25" x14ac:dyDescent="0.25">
      <c r="A81" s="3">
        <v>73</v>
      </c>
      <c r="B81" s="36"/>
      <c r="C81" s="32">
        <v>0.33250000000000002</v>
      </c>
      <c r="D81" s="32">
        <v>0.1</v>
      </c>
      <c r="E81" s="32">
        <v>0.23250000000000001</v>
      </c>
      <c r="F81" s="33">
        <v>20</v>
      </c>
      <c r="G81" s="34">
        <v>51.8</v>
      </c>
      <c r="H81" s="34">
        <v>26.8</v>
      </c>
      <c r="I81" s="34">
        <v>50.9</v>
      </c>
      <c r="J81" s="34">
        <v>50.5</v>
      </c>
      <c r="K81" s="34">
        <v>50.3</v>
      </c>
      <c r="L81" s="34">
        <v>50.9</v>
      </c>
      <c r="M81" s="34">
        <v>50.7</v>
      </c>
      <c r="N81" s="34">
        <v>49.75</v>
      </c>
      <c r="O81" s="40"/>
      <c r="P81" s="40"/>
      <c r="Q81" s="40"/>
      <c r="S81" s="35"/>
      <c r="T81" s="35"/>
      <c r="U81" s="35"/>
      <c r="V81" s="35"/>
      <c r="W81" s="35"/>
      <c r="X81" s="35"/>
      <c r="Y81" s="35"/>
    </row>
    <row r="82" spans="1:25" x14ac:dyDescent="0.25">
      <c r="A82" s="3">
        <v>74</v>
      </c>
      <c r="B82" s="36"/>
      <c r="C82" s="32">
        <v>0.33250000000000002</v>
      </c>
      <c r="D82" s="32">
        <v>0.1</v>
      </c>
      <c r="E82" s="32">
        <v>0.23250000000000001</v>
      </c>
      <c r="F82" s="33">
        <v>20</v>
      </c>
      <c r="G82" s="34">
        <v>51.75</v>
      </c>
      <c r="H82" s="34">
        <v>26.9</v>
      </c>
      <c r="I82" s="34">
        <v>51</v>
      </c>
      <c r="J82" s="34">
        <v>50.6</v>
      </c>
      <c r="K82" s="34">
        <v>50.5</v>
      </c>
      <c r="L82" s="34">
        <v>51.2</v>
      </c>
      <c r="M82" s="34">
        <v>50.8</v>
      </c>
      <c r="N82" s="34">
        <v>49.75</v>
      </c>
      <c r="O82" s="40"/>
      <c r="P82" s="40"/>
      <c r="Q82" s="40"/>
      <c r="S82" s="35"/>
      <c r="T82" s="35"/>
      <c r="U82" s="35"/>
      <c r="V82" s="35"/>
      <c r="W82" s="35"/>
      <c r="X82" s="35"/>
      <c r="Y82" s="35"/>
    </row>
    <row r="83" spans="1:25" x14ac:dyDescent="0.25">
      <c r="A83" s="3">
        <v>75</v>
      </c>
      <c r="B83" s="36"/>
      <c r="C83" s="32">
        <v>0.33250000000000002</v>
      </c>
      <c r="D83" s="32">
        <v>0.1</v>
      </c>
      <c r="E83" s="32">
        <v>0.23250000000000001</v>
      </c>
      <c r="F83" s="33">
        <v>20</v>
      </c>
      <c r="G83" s="34">
        <v>51.7</v>
      </c>
      <c r="H83" s="34">
        <v>26.9</v>
      </c>
      <c r="I83" s="34">
        <v>51.1</v>
      </c>
      <c r="J83" s="34">
        <v>50.5</v>
      </c>
      <c r="K83" s="34">
        <v>50.6</v>
      </c>
      <c r="L83" s="34">
        <v>51.3</v>
      </c>
      <c r="M83" s="34">
        <v>50.9</v>
      </c>
      <c r="N83" s="34">
        <v>49.85</v>
      </c>
      <c r="O83" s="40"/>
      <c r="P83" s="40"/>
      <c r="Q83" s="40"/>
      <c r="S83" s="35"/>
      <c r="T83" s="35"/>
      <c r="U83" s="35"/>
      <c r="V83" s="35"/>
      <c r="W83" s="35"/>
      <c r="X83" s="35"/>
      <c r="Y83" s="35"/>
    </row>
    <row r="84" spans="1:25" x14ac:dyDescent="0.25">
      <c r="A84" s="3">
        <v>76</v>
      </c>
      <c r="B84" s="36"/>
      <c r="C84" s="32">
        <v>0.33250000000000002</v>
      </c>
      <c r="D84" s="32">
        <v>0.1</v>
      </c>
      <c r="E84" s="32">
        <v>0.23250000000000001</v>
      </c>
      <c r="F84" s="33">
        <v>20</v>
      </c>
      <c r="G84" s="34">
        <v>51.8</v>
      </c>
      <c r="H84" s="34">
        <v>27</v>
      </c>
      <c r="I84" s="34">
        <v>51.2</v>
      </c>
      <c r="J84" s="34">
        <v>50.6</v>
      </c>
      <c r="K84" s="34">
        <v>50.599999999999994</v>
      </c>
      <c r="L84" s="34">
        <v>51.2</v>
      </c>
      <c r="M84" s="34">
        <v>50.8</v>
      </c>
      <c r="N84" s="34">
        <v>49.95</v>
      </c>
      <c r="O84" s="40"/>
      <c r="P84" s="40"/>
      <c r="Q84" s="40"/>
      <c r="S84" s="35"/>
      <c r="T84" s="35"/>
      <c r="U84" s="35"/>
      <c r="V84" s="35"/>
      <c r="W84" s="35"/>
      <c r="X84" s="35"/>
      <c r="Y84" s="35"/>
    </row>
    <row r="85" spans="1:25" x14ac:dyDescent="0.25">
      <c r="A85" s="3">
        <v>77</v>
      </c>
      <c r="B85" s="36"/>
      <c r="C85" s="32">
        <v>0.33250000000000002</v>
      </c>
      <c r="D85" s="32">
        <v>0.1</v>
      </c>
      <c r="E85" s="32">
        <v>0.23250000000000001</v>
      </c>
      <c r="F85" s="33">
        <v>20</v>
      </c>
      <c r="G85" s="34">
        <v>51.7</v>
      </c>
      <c r="H85" s="34">
        <v>27</v>
      </c>
      <c r="I85" s="34">
        <v>51</v>
      </c>
      <c r="J85" s="34">
        <v>50.6</v>
      </c>
      <c r="K85" s="34">
        <v>50.5</v>
      </c>
      <c r="L85" s="34">
        <v>51.2</v>
      </c>
      <c r="M85" s="34">
        <v>50.8</v>
      </c>
      <c r="N85" s="34">
        <v>49.85</v>
      </c>
      <c r="O85" s="40"/>
      <c r="P85" s="40"/>
      <c r="Q85" s="40"/>
      <c r="S85" s="35"/>
      <c r="T85" s="35"/>
      <c r="U85" s="35"/>
      <c r="V85" s="35"/>
      <c r="W85" s="35"/>
      <c r="X85" s="35"/>
      <c r="Y85" s="35"/>
    </row>
    <row r="86" spans="1:25" x14ac:dyDescent="0.25">
      <c r="A86" s="3">
        <v>78</v>
      </c>
      <c r="B86" s="36"/>
      <c r="C86" s="32">
        <v>0.33250000000000002</v>
      </c>
      <c r="D86" s="32">
        <v>0.1</v>
      </c>
      <c r="E86" s="32">
        <v>0.23250000000000001</v>
      </c>
      <c r="F86" s="33">
        <v>20</v>
      </c>
      <c r="G86" s="34">
        <v>51.7</v>
      </c>
      <c r="H86" s="34">
        <v>27.1</v>
      </c>
      <c r="I86" s="34">
        <v>51.1</v>
      </c>
      <c r="J86" s="34">
        <v>50.5</v>
      </c>
      <c r="K86" s="34">
        <v>50.6</v>
      </c>
      <c r="L86" s="34">
        <v>51.3</v>
      </c>
      <c r="M86" s="34">
        <v>50.9</v>
      </c>
      <c r="N86" s="34">
        <v>49.95</v>
      </c>
      <c r="O86" s="40"/>
      <c r="P86" s="40"/>
      <c r="Q86" s="40"/>
      <c r="S86" s="35"/>
      <c r="T86" s="35"/>
      <c r="U86" s="35"/>
      <c r="V86" s="35"/>
      <c r="W86" s="35"/>
      <c r="X86" s="35"/>
      <c r="Y86" s="35"/>
    </row>
    <row r="87" spans="1:25" x14ac:dyDescent="0.25">
      <c r="A87" s="3">
        <v>79</v>
      </c>
      <c r="B87" s="36"/>
      <c r="C87" s="32">
        <v>0.33250000000000002</v>
      </c>
      <c r="D87" s="32">
        <v>0.1</v>
      </c>
      <c r="E87" s="32">
        <v>0.23250000000000001</v>
      </c>
      <c r="F87" s="33">
        <v>20</v>
      </c>
      <c r="G87" s="34">
        <v>51.8</v>
      </c>
      <c r="H87" s="34">
        <v>27.2</v>
      </c>
      <c r="I87" s="34">
        <v>51.2</v>
      </c>
      <c r="J87" s="34">
        <v>50.6</v>
      </c>
      <c r="K87" s="34">
        <v>50.7</v>
      </c>
      <c r="L87" s="34">
        <v>51.3</v>
      </c>
      <c r="M87" s="34">
        <v>50.8</v>
      </c>
      <c r="N87" s="34">
        <v>50.15</v>
      </c>
      <c r="O87" s="40"/>
      <c r="P87" s="40"/>
      <c r="Q87" s="40"/>
      <c r="S87" s="35"/>
      <c r="T87" s="35"/>
      <c r="U87" s="35"/>
      <c r="V87" s="35"/>
      <c r="W87" s="35"/>
      <c r="X87" s="35"/>
      <c r="Y87" s="35"/>
    </row>
    <row r="88" spans="1:25" x14ac:dyDescent="0.25">
      <c r="A88" s="3">
        <v>80</v>
      </c>
      <c r="B88" s="36"/>
      <c r="C88" s="32">
        <v>0.33250000000000002</v>
      </c>
      <c r="D88" s="32">
        <v>0.1</v>
      </c>
      <c r="E88" s="32">
        <v>0.23250000000000001</v>
      </c>
      <c r="F88" s="33">
        <v>20</v>
      </c>
      <c r="G88" s="34">
        <v>51.7</v>
      </c>
      <c r="H88" s="34">
        <v>27.1</v>
      </c>
      <c r="I88" s="34">
        <v>51.1</v>
      </c>
      <c r="J88" s="34">
        <v>50.5</v>
      </c>
      <c r="K88" s="34">
        <v>50.7</v>
      </c>
      <c r="L88" s="34">
        <v>51.4</v>
      </c>
      <c r="M88" s="34">
        <v>50.9</v>
      </c>
      <c r="N88" s="34">
        <v>50.15</v>
      </c>
      <c r="O88" s="40"/>
      <c r="P88" s="40"/>
      <c r="Q88" s="40"/>
      <c r="S88" s="35"/>
      <c r="T88" s="35"/>
      <c r="U88" s="35"/>
      <c r="V88" s="35"/>
      <c r="W88" s="35"/>
      <c r="X88" s="35"/>
      <c r="Y88" s="35"/>
    </row>
    <row r="89" spans="1:25" x14ac:dyDescent="0.25">
      <c r="A89" s="36"/>
      <c r="B89" s="36"/>
      <c r="C89" s="39"/>
      <c r="D89" s="39"/>
      <c r="E89" s="39"/>
      <c r="F89" s="37"/>
      <c r="G89" s="36"/>
      <c r="H89" s="36"/>
      <c r="I89" s="36"/>
      <c r="J89" s="36"/>
      <c r="K89" s="36"/>
      <c r="L89" s="36"/>
      <c r="M89" s="36"/>
      <c r="N89" s="36"/>
      <c r="O89" s="40"/>
      <c r="P89" s="40"/>
      <c r="Q89" s="40"/>
      <c r="R89" s="35"/>
      <c r="S89" s="35"/>
      <c r="T89" s="35"/>
      <c r="U89" s="35"/>
      <c r="V89" s="35"/>
      <c r="W89" s="35"/>
      <c r="X89" s="35"/>
      <c r="Y89" s="35"/>
    </row>
    <row r="90" spans="1:25" x14ac:dyDescent="0.25">
      <c r="A90" s="3">
        <v>81</v>
      </c>
      <c r="B90" s="3" t="s">
        <v>55</v>
      </c>
      <c r="C90" s="32">
        <v>0.21249999999999999</v>
      </c>
      <c r="D90" s="32">
        <v>9.7500000000000003E-2</v>
      </c>
      <c r="E90" s="32">
        <v>0.11499999999999999</v>
      </c>
      <c r="F90" s="33">
        <v>15</v>
      </c>
      <c r="G90" s="34">
        <v>50.1</v>
      </c>
      <c r="H90" s="34">
        <v>27.1</v>
      </c>
      <c r="I90" s="34">
        <v>49.3</v>
      </c>
      <c r="J90" s="34">
        <v>48.5</v>
      </c>
      <c r="K90" s="34">
        <v>48.849999999999994</v>
      </c>
      <c r="L90" s="34">
        <v>49.9</v>
      </c>
      <c r="M90" s="34">
        <v>48.9</v>
      </c>
      <c r="N90" s="34">
        <v>48.650000000000006</v>
      </c>
      <c r="O90" s="40"/>
      <c r="P90" s="40"/>
      <c r="Q90" s="40"/>
      <c r="R90" s="35"/>
      <c r="S90" s="35"/>
      <c r="T90" s="35"/>
      <c r="U90" s="35"/>
      <c r="V90" s="35"/>
      <c r="W90" s="35"/>
      <c r="X90" s="35"/>
      <c r="Y90" s="35"/>
    </row>
    <row r="91" spans="1:25" x14ac:dyDescent="0.25">
      <c r="A91" s="3">
        <v>82</v>
      </c>
      <c r="B91" s="36"/>
      <c r="C91" s="32">
        <v>0.21249999999999999</v>
      </c>
      <c r="D91" s="32">
        <v>9.7500000000000003E-2</v>
      </c>
      <c r="E91" s="32">
        <v>0.11499999999999999</v>
      </c>
      <c r="F91" s="33">
        <v>15</v>
      </c>
      <c r="G91" s="34">
        <v>50.1</v>
      </c>
      <c r="H91" s="34">
        <v>27.1</v>
      </c>
      <c r="I91" s="34">
        <v>49.3</v>
      </c>
      <c r="J91" s="34">
        <v>48.5</v>
      </c>
      <c r="K91" s="34">
        <v>48.75</v>
      </c>
      <c r="L91" s="34">
        <v>49.7</v>
      </c>
      <c r="M91" s="34">
        <v>48.7</v>
      </c>
      <c r="N91" s="34">
        <v>48.6</v>
      </c>
      <c r="O91" s="40"/>
      <c r="P91" s="40"/>
      <c r="Q91" s="40"/>
      <c r="R91" s="35"/>
      <c r="S91" s="35"/>
      <c r="T91" s="35"/>
      <c r="U91" s="35"/>
      <c r="V91" s="35"/>
      <c r="W91" s="35"/>
      <c r="X91" s="35"/>
      <c r="Y91" s="35"/>
    </row>
    <row r="92" spans="1:25" x14ac:dyDescent="0.25">
      <c r="A92" s="3">
        <v>83</v>
      </c>
      <c r="B92" s="36"/>
      <c r="C92" s="32">
        <v>0.21249999999999999</v>
      </c>
      <c r="D92" s="32">
        <v>9.7500000000000003E-2</v>
      </c>
      <c r="E92" s="32">
        <v>0.11499999999999999</v>
      </c>
      <c r="F92" s="33">
        <v>15</v>
      </c>
      <c r="G92" s="34">
        <v>50.1</v>
      </c>
      <c r="H92" s="34">
        <v>27.1</v>
      </c>
      <c r="I92" s="34">
        <v>49.1</v>
      </c>
      <c r="J92" s="34">
        <v>48.4</v>
      </c>
      <c r="K92" s="34">
        <v>48.75</v>
      </c>
      <c r="L92" s="34">
        <v>49.7</v>
      </c>
      <c r="M92" s="34">
        <v>48.7</v>
      </c>
      <c r="N92" s="34">
        <v>48.5</v>
      </c>
      <c r="O92" s="40"/>
      <c r="P92" s="40"/>
      <c r="Q92" s="40"/>
      <c r="R92" s="35"/>
      <c r="S92" s="35"/>
      <c r="T92" s="35"/>
      <c r="U92" s="35"/>
      <c r="V92" s="35"/>
      <c r="W92" s="35"/>
      <c r="X92" s="35"/>
      <c r="Y92" s="35"/>
    </row>
    <row r="93" spans="1:25" x14ac:dyDescent="0.25">
      <c r="A93" s="3">
        <v>84</v>
      </c>
      <c r="B93" s="36"/>
      <c r="C93" s="32">
        <v>0.21249999999999999</v>
      </c>
      <c r="D93" s="32">
        <v>9.7500000000000003E-2</v>
      </c>
      <c r="E93" s="32">
        <v>0.11499999999999999</v>
      </c>
      <c r="F93" s="33">
        <v>15</v>
      </c>
      <c r="G93" s="34">
        <v>50.2</v>
      </c>
      <c r="H93" s="34">
        <v>27.4</v>
      </c>
      <c r="I93" s="34">
        <v>49.2</v>
      </c>
      <c r="J93" s="34">
        <v>48.4</v>
      </c>
      <c r="K93" s="34">
        <v>48.8</v>
      </c>
      <c r="L93" s="34">
        <v>49.8</v>
      </c>
      <c r="M93" s="34">
        <v>48.8</v>
      </c>
      <c r="N93" s="34">
        <v>48.6</v>
      </c>
      <c r="O93" s="40"/>
      <c r="P93" s="40"/>
      <c r="Q93" s="40"/>
      <c r="R93" s="35"/>
      <c r="S93" s="35"/>
      <c r="T93" s="35"/>
      <c r="U93" s="35"/>
      <c r="V93" s="35"/>
      <c r="W93" s="35"/>
      <c r="X93" s="35"/>
      <c r="Y93" s="35"/>
    </row>
    <row r="94" spans="1:25" x14ac:dyDescent="0.25">
      <c r="A94" s="3">
        <v>85</v>
      </c>
      <c r="B94" s="36"/>
      <c r="C94" s="32">
        <v>0.21249999999999999</v>
      </c>
      <c r="D94" s="32">
        <v>9.7500000000000003E-2</v>
      </c>
      <c r="E94" s="32">
        <v>0.11499999999999999</v>
      </c>
      <c r="F94" s="33">
        <v>15</v>
      </c>
      <c r="G94" s="34">
        <v>50.1</v>
      </c>
      <c r="H94" s="34">
        <v>27.5</v>
      </c>
      <c r="I94" s="34">
        <v>49.2</v>
      </c>
      <c r="J94" s="34">
        <v>48.4</v>
      </c>
      <c r="K94" s="34">
        <v>48.8</v>
      </c>
      <c r="L94" s="34">
        <v>49.8</v>
      </c>
      <c r="M94" s="34">
        <v>48.8</v>
      </c>
      <c r="N94" s="34">
        <v>48.6</v>
      </c>
      <c r="O94" s="40"/>
      <c r="P94" s="40"/>
      <c r="Q94" s="40"/>
      <c r="R94" s="35"/>
      <c r="S94" s="35"/>
      <c r="T94" s="35"/>
      <c r="U94" s="35"/>
      <c r="V94" s="35"/>
      <c r="W94" s="35"/>
      <c r="X94" s="35"/>
      <c r="Y94" s="35"/>
    </row>
    <row r="95" spans="1:25" x14ac:dyDescent="0.25">
      <c r="A95" s="3">
        <v>86</v>
      </c>
      <c r="B95" s="36"/>
      <c r="C95" s="32">
        <v>0.21249999999999999</v>
      </c>
      <c r="D95" s="32">
        <v>9.7500000000000003E-2</v>
      </c>
      <c r="E95" s="32">
        <v>0.11499999999999999</v>
      </c>
      <c r="F95" s="33">
        <v>15</v>
      </c>
      <c r="G95" s="34">
        <v>50.2</v>
      </c>
      <c r="H95" s="34">
        <v>27.5</v>
      </c>
      <c r="I95" s="34">
        <v>49.2</v>
      </c>
      <c r="J95" s="34">
        <v>48.6</v>
      </c>
      <c r="K95" s="34">
        <v>48.8</v>
      </c>
      <c r="L95" s="34">
        <v>49.8</v>
      </c>
      <c r="M95" s="34">
        <v>48.8</v>
      </c>
      <c r="N95" s="34">
        <v>48.6</v>
      </c>
      <c r="O95" s="40"/>
      <c r="P95" s="40"/>
      <c r="Q95" s="40"/>
      <c r="R95" s="35"/>
      <c r="S95" s="35"/>
      <c r="T95" s="35"/>
      <c r="U95" s="35"/>
      <c r="V95" s="35"/>
      <c r="W95" s="35"/>
      <c r="X95" s="35"/>
      <c r="Y95" s="35"/>
    </row>
    <row r="96" spans="1:25" x14ac:dyDescent="0.25">
      <c r="A96" s="3">
        <v>87</v>
      </c>
      <c r="B96" s="36"/>
      <c r="C96" s="32">
        <v>0.21249999999999999</v>
      </c>
      <c r="D96" s="32">
        <v>9.7500000000000003E-2</v>
      </c>
      <c r="E96" s="32">
        <v>0.11499999999999999</v>
      </c>
      <c r="F96" s="33">
        <v>15</v>
      </c>
      <c r="G96" s="34">
        <v>50.1</v>
      </c>
      <c r="H96" s="34">
        <v>27.4</v>
      </c>
      <c r="I96" s="34">
        <v>49.2</v>
      </c>
      <c r="J96" s="34">
        <v>48.4</v>
      </c>
      <c r="K96" s="34">
        <v>48.8</v>
      </c>
      <c r="L96" s="34">
        <v>49.8</v>
      </c>
      <c r="M96" s="34">
        <v>48.8</v>
      </c>
      <c r="N96" s="34">
        <v>48.5</v>
      </c>
      <c r="O96" s="40"/>
      <c r="P96" s="40"/>
      <c r="Q96" s="40"/>
      <c r="R96" s="35"/>
      <c r="S96" s="35"/>
      <c r="T96" s="35"/>
      <c r="U96" s="35"/>
      <c r="V96" s="35"/>
      <c r="W96" s="35"/>
      <c r="X96" s="35"/>
      <c r="Y96" s="35"/>
    </row>
    <row r="97" spans="1:25" x14ac:dyDescent="0.25">
      <c r="A97" s="3">
        <v>88</v>
      </c>
      <c r="B97" s="36"/>
      <c r="C97" s="32">
        <v>0.21249999999999999</v>
      </c>
      <c r="D97" s="32">
        <v>9.7500000000000003E-2</v>
      </c>
      <c r="E97" s="32">
        <v>0.11499999999999999</v>
      </c>
      <c r="F97" s="33">
        <v>15</v>
      </c>
      <c r="G97" s="34">
        <v>50.1</v>
      </c>
      <c r="H97" s="34">
        <v>27.4</v>
      </c>
      <c r="I97" s="34">
        <v>49.2</v>
      </c>
      <c r="J97" s="34">
        <v>48.4</v>
      </c>
      <c r="K97" s="34">
        <v>48.65</v>
      </c>
      <c r="L97" s="34">
        <v>49.8</v>
      </c>
      <c r="M97" s="34">
        <v>48.8</v>
      </c>
      <c r="N97" s="34">
        <v>48.4</v>
      </c>
      <c r="O97" s="40"/>
      <c r="P97" s="40"/>
      <c r="Q97" s="40"/>
      <c r="R97" s="35"/>
      <c r="S97" s="35"/>
      <c r="T97" s="35"/>
      <c r="U97" s="35"/>
      <c r="V97" s="35"/>
      <c r="W97" s="35"/>
      <c r="X97" s="35"/>
      <c r="Y97" s="35"/>
    </row>
    <row r="98" spans="1:25" x14ac:dyDescent="0.25">
      <c r="A98" s="3">
        <v>89</v>
      </c>
      <c r="B98" s="36"/>
      <c r="C98" s="32">
        <v>0.21249999999999999</v>
      </c>
      <c r="D98" s="32">
        <v>9.7500000000000003E-2</v>
      </c>
      <c r="E98" s="32">
        <v>0.11499999999999999</v>
      </c>
      <c r="F98" s="33">
        <v>15</v>
      </c>
      <c r="G98" s="34">
        <v>50.1</v>
      </c>
      <c r="H98" s="34">
        <v>27.6</v>
      </c>
      <c r="I98" s="34">
        <v>49.2</v>
      </c>
      <c r="J98" s="34">
        <v>48.4</v>
      </c>
      <c r="K98" s="34">
        <v>48.65</v>
      </c>
      <c r="L98" s="34">
        <v>49.8</v>
      </c>
      <c r="M98" s="34">
        <v>48.8</v>
      </c>
      <c r="N98" s="34">
        <v>48.4</v>
      </c>
      <c r="O98" s="40"/>
      <c r="P98" s="40"/>
      <c r="Q98" s="40"/>
      <c r="R98" s="35"/>
      <c r="S98" s="35"/>
      <c r="T98" s="35"/>
      <c r="U98" s="35"/>
      <c r="V98" s="35"/>
      <c r="W98" s="35"/>
      <c r="X98" s="35"/>
      <c r="Y98" s="35"/>
    </row>
    <row r="99" spans="1:25" x14ac:dyDescent="0.25">
      <c r="A99" s="3">
        <v>90</v>
      </c>
      <c r="B99" s="36"/>
      <c r="C99" s="32">
        <v>0.21249999999999999</v>
      </c>
      <c r="D99" s="32">
        <v>9.7500000000000003E-2</v>
      </c>
      <c r="E99" s="32">
        <v>0.11499999999999999</v>
      </c>
      <c r="F99" s="33">
        <v>15</v>
      </c>
      <c r="G99" s="34">
        <v>50.2</v>
      </c>
      <c r="H99" s="34">
        <v>27.5</v>
      </c>
      <c r="I99" s="34">
        <v>49.2</v>
      </c>
      <c r="J99" s="34">
        <v>48.4</v>
      </c>
      <c r="K99" s="34">
        <v>48.75</v>
      </c>
      <c r="L99" s="34">
        <v>49.8</v>
      </c>
      <c r="M99" s="34">
        <v>48.8</v>
      </c>
      <c r="N99" s="34">
        <v>48.6</v>
      </c>
      <c r="O99" s="40"/>
      <c r="P99" s="40"/>
      <c r="Q99" s="40"/>
      <c r="R99" s="35"/>
      <c r="S99" s="35"/>
      <c r="T99" s="35"/>
      <c r="U99" s="35"/>
      <c r="V99" s="35"/>
      <c r="W99" s="35"/>
      <c r="X99" s="35"/>
      <c r="Y99" s="35"/>
    </row>
    <row r="100" spans="1:25" x14ac:dyDescent="0.25">
      <c r="A100" s="36"/>
      <c r="B100" s="36"/>
      <c r="C100" s="39"/>
      <c r="D100" s="39"/>
      <c r="E100" s="39"/>
      <c r="F100" s="37"/>
      <c r="G100" s="36"/>
      <c r="H100" s="36"/>
      <c r="I100" s="36"/>
      <c r="J100" s="36"/>
      <c r="K100" s="36"/>
      <c r="L100" s="36"/>
      <c r="M100" s="36"/>
      <c r="N100" s="36"/>
      <c r="O100" s="40"/>
      <c r="P100" s="40"/>
      <c r="Q100" s="40"/>
      <c r="R100" s="35"/>
      <c r="S100" s="35"/>
      <c r="T100" s="35"/>
      <c r="U100" s="35"/>
      <c r="V100" s="35"/>
      <c r="W100" s="35"/>
      <c r="X100" s="35"/>
      <c r="Y100" s="35"/>
    </row>
    <row r="101" spans="1:25" x14ac:dyDescent="0.25">
      <c r="A101" s="3">
        <v>91</v>
      </c>
      <c r="B101" s="3" t="s">
        <v>56</v>
      </c>
      <c r="C101" s="32">
        <v>0.1525</v>
      </c>
      <c r="D101" s="32">
        <v>0.10249999999999999</v>
      </c>
      <c r="E101" s="32">
        <v>0.05</v>
      </c>
      <c r="F101" s="33">
        <v>10</v>
      </c>
      <c r="G101" s="34">
        <v>51.35</v>
      </c>
      <c r="H101" s="34">
        <v>28.3</v>
      </c>
      <c r="I101" s="34">
        <v>49.8</v>
      </c>
      <c r="J101" s="34">
        <v>49.1</v>
      </c>
      <c r="K101" s="34">
        <v>44.45</v>
      </c>
      <c r="L101" s="34">
        <v>51.7</v>
      </c>
      <c r="M101" s="34">
        <v>50.4</v>
      </c>
      <c r="N101" s="34">
        <v>48.15</v>
      </c>
      <c r="O101" s="40"/>
      <c r="P101" s="40"/>
      <c r="Q101" s="40"/>
      <c r="R101" s="35"/>
      <c r="S101" s="35"/>
      <c r="T101" s="35"/>
      <c r="U101" s="35"/>
      <c r="V101" s="35"/>
      <c r="W101" s="35"/>
      <c r="X101" s="35"/>
      <c r="Y101" s="35"/>
    </row>
    <row r="102" spans="1:25" x14ac:dyDescent="0.25">
      <c r="A102" s="3">
        <v>92</v>
      </c>
      <c r="B102" s="36"/>
      <c r="C102" s="32">
        <v>0.1525</v>
      </c>
      <c r="D102" s="32">
        <v>0.10249999999999999</v>
      </c>
      <c r="E102" s="32">
        <v>0.05</v>
      </c>
      <c r="F102" s="33">
        <v>10</v>
      </c>
      <c r="G102" s="34">
        <v>51.4</v>
      </c>
      <c r="H102" s="34">
        <v>28.3</v>
      </c>
      <c r="I102" s="34">
        <v>49.8</v>
      </c>
      <c r="J102" s="34">
        <v>49.1</v>
      </c>
      <c r="K102" s="34">
        <v>44.5</v>
      </c>
      <c r="L102" s="34">
        <v>51.7</v>
      </c>
      <c r="M102" s="34">
        <v>50.4</v>
      </c>
      <c r="N102" s="34">
        <v>48.15</v>
      </c>
      <c r="O102" s="40"/>
      <c r="P102" s="40"/>
      <c r="Q102" s="40"/>
      <c r="R102" s="35"/>
      <c r="S102" s="35"/>
      <c r="T102" s="35"/>
      <c r="U102" s="35"/>
      <c r="V102" s="35"/>
      <c r="W102" s="35"/>
      <c r="X102" s="35"/>
      <c r="Y102" s="35"/>
    </row>
    <row r="103" spans="1:25" x14ac:dyDescent="0.25">
      <c r="A103" s="3">
        <v>93</v>
      </c>
      <c r="B103" s="36"/>
      <c r="C103" s="32">
        <v>0.1525</v>
      </c>
      <c r="D103" s="32">
        <v>0.10249999999999999</v>
      </c>
      <c r="E103" s="32">
        <v>0.05</v>
      </c>
      <c r="F103" s="33">
        <v>10</v>
      </c>
      <c r="G103" s="34">
        <v>51.3</v>
      </c>
      <c r="H103" s="34">
        <v>28.2</v>
      </c>
      <c r="I103" s="34">
        <v>49.7</v>
      </c>
      <c r="J103" s="34">
        <v>49</v>
      </c>
      <c r="K103" s="34">
        <v>44.55</v>
      </c>
      <c r="L103" s="34">
        <v>51.6</v>
      </c>
      <c r="M103" s="34">
        <v>50.3</v>
      </c>
      <c r="N103" s="34">
        <v>48.1</v>
      </c>
      <c r="O103" s="40"/>
      <c r="P103" s="40"/>
      <c r="Q103" s="40"/>
      <c r="R103" s="35"/>
      <c r="S103" s="35"/>
      <c r="T103" s="35"/>
      <c r="U103" s="35"/>
      <c r="V103" s="35"/>
      <c r="W103" s="35"/>
      <c r="X103" s="35"/>
      <c r="Y103" s="35"/>
    </row>
    <row r="104" spans="1:25" x14ac:dyDescent="0.25">
      <c r="A104" s="3">
        <v>94</v>
      </c>
      <c r="B104" s="36"/>
      <c r="C104" s="32">
        <v>0.1525</v>
      </c>
      <c r="D104" s="32">
        <v>0.10249999999999999</v>
      </c>
      <c r="E104" s="32">
        <v>0.05</v>
      </c>
      <c r="F104" s="33">
        <v>10</v>
      </c>
      <c r="G104" s="34">
        <v>51.400000000000006</v>
      </c>
      <c r="H104" s="34">
        <v>28.1</v>
      </c>
      <c r="I104" s="34">
        <v>49.7</v>
      </c>
      <c r="J104" s="34">
        <v>49</v>
      </c>
      <c r="K104" s="34">
        <v>44.45</v>
      </c>
      <c r="L104" s="34">
        <v>51.4</v>
      </c>
      <c r="M104" s="34">
        <v>50.1</v>
      </c>
      <c r="N104" s="34">
        <v>48.05</v>
      </c>
      <c r="O104" s="40"/>
      <c r="P104" s="40"/>
      <c r="Q104" s="40"/>
      <c r="R104" s="35"/>
      <c r="S104" s="35"/>
      <c r="T104" s="35"/>
      <c r="U104" s="35"/>
      <c r="V104" s="35"/>
      <c r="W104" s="35"/>
      <c r="X104" s="35"/>
      <c r="Y104" s="35"/>
    </row>
    <row r="105" spans="1:25" x14ac:dyDescent="0.25">
      <c r="A105" s="3">
        <v>95</v>
      </c>
      <c r="B105" s="36"/>
      <c r="C105" s="32">
        <v>0.1525</v>
      </c>
      <c r="D105" s="32">
        <v>0.10249999999999999</v>
      </c>
      <c r="E105" s="32">
        <v>0.05</v>
      </c>
      <c r="F105" s="33">
        <v>10</v>
      </c>
      <c r="G105" s="34">
        <v>51.3</v>
      </c>
      <c r="H105" s="34">
        <v>28</v>
      </c>
      <c r="I105" s="34">
        <v>49.5</v>
      </c>
      <c r="J105" s="34">
        <v>48.8</v>
      </c>
      <c r="K105" s="34">
        <v>44.4</v>
      </c>
      <c r="L105" s="34">
        <v>51.2</v>
      </c>
      <c r="M105" s="34">
        <v>49.9</v>
      </c>
      <c r="N105" s="34">
        <v>47.95</v>
      </c>
      <c r="O105" s="40"/>
      <c r="P105" s="40"/>
      <c r="Q105" s="40"/>
      <c r="R105" s="35"/>
      <c r="S105" s="35"/>
      <c r="T105" s="35"/>
      <c r="U105" s="35"/>
      <c r="V105" s="35"/>
      <c r="W105" s="35"/>
      <c r="X105" s="35"/>
      <c r="Y105" s="35"/>
    </row>
    <row r="106" spans="1:25" x14ac:dyDescent="0.25">
      <c r="A106" s="3">
        <v>96</v>
      </c>
      <c r="B106" s="36"/>
      <c r="C106" s="32">
        <v>0.1525</v>
      </c>
      <c r="D106" s="32">
        <v>0.10249999999999999</v>
      </c>
      <c r="E106" s="32">
        <v>0.05</v>
      </c>
      <c r="F106" s="33">
        <v>10</v>
      </c>
      <c r="G106" s="34">
        <v>51.4</v>
      </c>
      <c r="H106" s="34">
        <v>28.1</v>
      </c>
      <c r="I106" s="34">
        <v>49.6</v>
      </c>
      <c r="J106" s="34">
        <v>48.9</v>
      </c>
      <c r="K106" s="34">
        <v>44.650000000000006</v>
      </c>
      <c r="L106" s="34">
        <v>51.3</v>
      </c>
      <c r="M106" s="34">
        <v>50.2</v>
      </c>
      <c r="N106" s="34">
        <v>48.15</v>
      </c>
      <c r="O106" s="40"/>
      <c r="P106" s="40"/>
      <c r="Q106" s="40"/>
      <c r="R106" s="35"/>
      <c r="S106" s="35"/>
      <c r="T106" s="35"/>
      <c r="U106" s="35"/>
      <c r="V106" s="35"/>
      <c r="W106" s="35"/>
      <c r="X106" s="35"/>
      <c r="Y106" s="35"/>
    </row>
    <row r="107" spans="1:25" x14ac:dyDescent="0.25">
      <c r="A107" s="3">
        <v>97</v>
      </c>
      <c r="B107" s="36"/>
      <c r="C107" s="32">
        <v>0.1525</v>
      </c>
      <c r="D107" s="32">
        <v>0.10249999999999999</v>
      </c>
      <c r="E107" s="32">
        <v>0.05</v>
      </c>
      <c r="F107" s="33">
        <v>10</v>
      </c>
      <c r="G107" s="34">
        <v>51.3</v>
      </c>
      <c r="H107" s="34">
        <v>28</v>
      </c>
      <c r="I107" s="34">
        <v>49.6</v>
      </c>
      <c r="J107" s="34">
        <v>48.9</v>
      </c>
      <c r="K107" s="34">
        <v>44.6</v>
      </c>
      <c r="L107" s="34">
        <v>51.3</v>
      </c>
      <c r="M107" s="34">
        <v>50</v>
      </c>
      <c r="N107" s="34">
        <v>48.15</v>
      </c>
      <c r="O107" s="40"/>
      <c r="P107" s="40"/>
      <c r="Q107" s="40"/>
      <c r="R107" s="35"/>
      <c r="S107" s="35"/>
      <c r="T107" s="35"/>
      <c r="U107" s="35"/>
      <c r="V107" s="35"/>
      <c r="W107" s="35"/>
      <c r="X107" s="35"/>
      <c r="Y107" s="35"/>
    </row>
    <row r="108" spans="1:25" x14ac:dyDescent="0.25">
      <c r="A108" s="3">
        <v>98</v>
      </c>
      <c r="B108" s="36"/>
      <c r="C108" s="32">
        <v>0.1525</v>
      </c>
      <c r="D108" s="32">
        <v>0.10249999999999999</v>
      </c>
      <c r="E108" s="32">
        <v>0.05</v>
      </c>
      <c r="F108" s="33">
        <v>10</v>
      </c>
      <c r="G108" s="34">
        <v>51.3</v>
      </c>
      <c r="H108" s="34">
        <v>28</v>
      </c>
      <c r="I108" s="34">
        <v>49.6</v>
      </c>
      <c r="J108" s="34">
        <v>48.9</v>
      </c>
      <c r="K108" s="34">
        <v>44.6</v>
      </c>
      <c r="L108" s="34">
        <v>51.3</v>
      </c>
      <c r="M108" s="34">
        <v>50</v>
      </c>
      <c r="N108" s="34">
        <v>48.15</v>
      </c>
      <c r="O108" s="40"/>
      <c r="P108" s="40"/>
      <c r="Q108" s="40"/>
      <c r="R108" s="35"/>
      <c r="S108" s="35"/>
      <c r="T108" s="35"/>
      <c r="U108" s="35"/>
      <c r="V108" s="35"/>
      <c r="W108" s="35"/>
      <c r="X108" s="35"/>
      <c r="Y108" s="35"/>
    </row>
    <row r="109" spans="1:25" x14ac:dyDescent="0.25">
      <c r="A109" s="3">
        <v>99</v>
      </c>
      <c r="B109" s="36"/>
      <c r="C109" s="32">
        <v>0.1525</v>
      </c>
      <c r="D109" s="32">
        <v>0.10249999999999999</v>
      </c>
      <c r="E109" s="32">
        <v>0.05</v>
      </c>
      <c r="F109" s="33">
        <v>10</v>
      </c>
      <c r="G109" s="34">
        <v>51.3</v>
      </c>
      <c r="H109" s="34">
        <v>27.9</v>
      </c>
      <c r="I109" s="34">
        <v>49.5</v>
      </c>
      <c r="J109" s="34">
        <v>48.8</v>
      </c>
      <c r="K109" s="34">
        <v>44.5</v>
      </c>
      <c r="L109" s="34">
        <v>51.2</v>
      </c>
      <c r="M109" s="34">
        <v>49.9</v>
      </c>
      <c r="N109" s="34">
        <v>48.05</v>
      </c>
      <c r="O109" s="40"/>
      <c r="P109" s="40"/>
      <c r="Q109" s="40"/>
      <c r="R109" s="35"/>
      <c r="S109" s="35"/>
      <c r="T109" s="35"/>
      <c r="U109" s="35"/>
      <c r="V109" s="35"/>
      <c r="W109" s="35"/>
      <c r="X109" s="35"/>
      <c r="Y109" s="35"/>
    </row>
    <row r="110" spans="1:25" x14ac:dyDescent="0.25">
      <c r="A110" s="3">
        <v>100</v>
      </c>
      <c r="B110" s="36"/>
      <c r="C110" s="32">
        <v>0.1525</v>
      </c>
      <c r="D110" s="32">
        <v>0.10249999999999999</v>
      </c>
      <c r="E110" s="32">
        <v>0.05</v>
      </c>
      <c r="F110" s="33">
        <v>10</v>
      </c>
      <c r="G110" s="34">
        <v>51.3</v>
      </c>
      <c r="H110" s="34">
        <v>28</v>
      </c>
      <c r="I110" s="34">
        <v>49.5</v>
      </c>
      <c r="J110" s="34">
        <v>48.8</v>
      </c>
      <c r="K110" s="34">
        <v>44.5</v>
      </c>
      <c r="L110" s="34">
        <v>51.2</v>
      </c>
      <c r="M110" s="34">
        <v>49.9</v>
      </c>
      <c r="N110" s="34">
        <v>48.05</v>
      </c>
      <c r="O110" s="40"/>
      <c r="P110" s="40"/>
      <c r="Q110" s="40"/>
      <c r="R110" s="35"/>
      <c r="S110" s="35"/>
      <c r="T110" s="35"/>
      <c r="U110" s="35"/>
      <c r="V110" s="35"/>
      <c r="W110" s="35"/>
      <c r="X110" s="35"/>
      <c r="Y110" s="35"/>
    </row>
    <row r="111" spans="1:25" x14ac:dyDescent="0.25">
      <c r="A111" s="36"/>
      <c r="B111" s="36"/>
      <c r="C111" s="39"/>
      <c r="D111" s="39"/>
      <c r="E111" s="39"/>
      <c r="F111" s="37"/>
      <c r="G111" s="36"/>
      <c r="H111" s="36"/>
      <c r="I111" s="36"/>
      <c r="J111" s="36"/>
      <c r="K111" s="36"/>
      <c r="L111" s="36"/>
      <c r="M111" s="36"/>
      <c r="N111" s="36"/>
      <c r="O111" s="40"/>
      <c r="P111" s="40"/>
      <c r="Q111" s="40"/>
      <c r="R111" s="35"/>
      <c r="S111" s="35"/>
      <c r="T111" s="35"/>
      <c r="U111" s="35"/>
      <c r="V111" s="35"/>
      <c r="W111" s="35"/>
      <c r="X111" s="35"/>
      <c r="Y111" s="35"/>
    </row>
    <row r="112" spans="1:25" x14ac:dyDescent="0.25">
      <c r="A112" s="3">
        <v>101</v>
      </c>
      <c r="B112" s="3" t="s">
        <v>57</v>
      </c>
      <c r="C112" s="32">
        <v>0.10249999999999999</v>
      </c>
      <c r="D112" s="32">
        <v>8.7499999999999994E-2</v>
      </c>
      <c r="E112" s="32">
        <v>1.4999999999999999E-2</v>
      </c>
      <c r="F112" s="33">
        <v>5</v>
      </c>
      <c r="G112" s="34">
        <v>51.599999999999994</v>
      </c>
      <c r="H112" s="34">
        <v>27.45</v>
      </c>
      <c r="I112" s="34">
        <v>49.7</v>
      </c>
      <c r="J112" s="34">
        <v>49.2</v>
      </c>
      <c r="K112" s="34">
        <v>45.25</v>
      </c>
      <c r="L112" s="34">
        <v>51.2</v>
      </c>
      <c r="M112" s="34">
        <v>49.9</v>
      </c>
      <c r="N112" s="34">
        <v>48.5</v>
      </c>
      <c r="O112" s="40"/>
      <c r="P112" s="40"/>
      <c r="Q112" s="40"/>
      <c r="R112" s="35"/>
      <c r="S112" s="35"/>
      <c r="T112" s="35"/>
      <c r="U112" s="35"/>
      <c r="V112" s="35"/>
      <c r="W112" s="35"/>
      <c r="X112" s="35"/>
      <c r="Y112" s="35"/>
    </row>
    <row r="113" spans="1:25" x14ac:dyDescent="0.25">
      <c r="A113" s="3">
        <v>102</v>
      </c>
      <c r="B113" s="36"/>
      <c r="C113" s="32">
        <v>0.10249999999999999</v>
      </c>
      <c r="D113" s="32">
        <v>8.7499999999999994E-2</v>
      </c>
      <c r="E113" s="32">
        <v>1.4999999999999999E-2</v>
      </c>
      <c r="F113" s="33">
        <v>5</v>
      </c>
      <c r="G113" s="34">
        <v>51.35</v>
      </c>
      <c r="H113" s="34">
        <v>27.4</v>
      </c>
      <c r="I113" s="34">
        <v>49.6</v>
      </c>
      <c r="J113" s="34">
        <v>49.1</v>
      </c>
      <c r="K113" s="34">
        <v>45.15</v>
      </c>
      <c r="L113" s="34">
        <v>51.1</v>
      </c>
      <c r="M113" s="34">
        <v>49.8</v>
      </c>
      <c r="N113" s="34">
        <v>48.4</v>
      </c>
      <c r="O113" s="40"/>
      <c r="P113" s="40"/>
      <c r="Q113" s="40"/>
      <c r="R113" s="35"/>
      <c r="S113" s="35"/>
      <c r="T113" s="35"/>
      <c r="U113" s="35"/>
      <c r="V113" s="35"/>
      <c r="W113" s="35"/>
      <c r="X113" s="35"/>
      <c r="Y113" s="35"/>
    </row>
    <row r="114" spans="1:25" x14ac:dyDescent="0.25">
      <c r="A114" s="3">
        <v>103</v>
      </c>
      <c r="B114" s="36"/>
      <c r="C114" s="32">
        <v>0.10249999999999999</v>
      </c>
      <c r="D114" s="32">
        <v>8.7499999999999994E-2</v>
      </c>
      <c r="E114" s="32">
        <v>1.4999999999999999E-2</v>
      </c>
      <c r="F114" s="33">
        <v>5</v>
      </c>
      <c r="G114" s="34">
        <v>51.35</v>
      </c>
      <c r="H114" s="34">
        <v>27.3</v>
      </c>
      <c r="I114" s="34">
        <v>49.6</v>
      </c>
      <c r="J114" s="34">
        <v>49.1</v>
      </c>
      <c r="K114" s="34">
        <v>45.15</v>
      </c>
      <c r="L114" s="34">
        <v>51.1</v>
      </c>
      <c r="M114" s="34">
        <v>49.8</v>
      </c>
      <c r="N114" s="34">
        <v>48.4</v>
      </c>
      <c r="O114" s="40"/>
      <c r="P114" s="40"/>
      <c r="Q114" s="40"/>
      <c r="R114" s="35"/>
      <c r="S114" s="35"/>
      <c r="T114" s="35"/>
      <c r="U114" s="35"/>
      <c r="V114" s="35"/>
      <c r="W114" s="35"/>
      <c r="X114" s="35"/>
      <c r="Y114" s="35"/>
    </row>
    <row r="115" spans="1:25" x14ac:dyDescent="0.25">
      <c r="A115" s="3">
        <v>104</v>
      </c>
      <c r="B115" s="36"/>
      <c r="C115" s="32">
        <v>0.10249999999999999</v>
      </c>
      <c r="D115" s="32">
        <v>8.7499999999999994E-2</v>
      </c>
      <c r="E115" s="32">
        <v>1.4999999999999999E-2</v>
      </c>
      <c r="F115" s="33">
        <v>5</v>
      </c>
      <c r="G115" s="34">
        <v>51.4</v>
      </c>
      <c r="H115" s="34">
        <v>27.35</v>
      </c>
      <c r="I115" s="34">
        <v>49.5</v>
      </c>
      <c r="J115" s="34">
        <v>48.9</v>
      </c>
      <c r="K115" s="34">
        <v>45.15</v>
      </c>
      <c r="L115" s="34">
        <v>51.1</v>
      </c>
      <c r="M115" s="34">
        <v>49.8</v>
      </c>
      <c r="N115" s="34">
        <v>48.3</v>
      </c>
      <c r="O115" s="40"/>
      <c r="P115" s="40"/>
      <c r="Q115" s="40"/>
      <c r="R115" s="35"/>
      <c r="S115" s="35"/>
      <c r="T115" s="35"/>
      <c r="U115" s="35"/>
      <c r="V115" s="35"/>
      <c r="W115" s="35"/>
      <c r="X115" s="35"/>
      <c r="Y115" s="35"/>
    </row>
    <row r="116" spans="1:25" x14ac:dyDescent="0.25">
      <c r="A116" s="3">
        <v>105</v>
      </c>
      <c r="B116" s="36"/>
      <c r="C116" s="32">
        <v>0.10249999999999999</v>
      </c>
      <c r="D116" s="32">
        <v>8.7499999999999994E-2</v>
      </c>
      <c r="E116" s="32">
        <v>1.4999999999999999E-2</v>
      </c>
      <c r="F116" s="33">
        <v>5</v>
      </c>
      <c r="G116" s="34">
        <v>51.400000000000006</v>
      </c>
      <c r="H116" s="34">
        <v>27.45</v>
      </c>
      <c r="I116" s="34">
        <v>49.5</v>
      </c>
      <c r="J116" s="34">
        <v>49</v>
      </c>
      <c r="K116" s="34">
        <v>45.15</v>
      </c>
      <c r="L116" s="34">
        <v>51.2</v>
      </c>
      <c r="M116" s="34">
        <v>49.9</v>
      </c>
      <c r="N116" s="34">
        <v>48.4</v>
      </c>
      <c r="O116" s="40"/>
      <c r="P116" s="40"/>
      <c r="Q116" s="40"/>
      <c r="R116" s="35"/>
      <c r="S116" s="35"/>
      <c r="T116" s="35"/>
      <c r="U116" s="35"/>
      <c r="V116" s="35"/>
      <c r="W116" s="35"/>
      <c r="X116" s="35"/>
      <c r="Y116" s="35"/>
    </row>
    <row r="117" spans="1:25" x14ac:dyDescent="0.25">
      <c r="A117" s="3">
        <v>106</v>
      </c>
      <c r="B117" s="36"/>
      <c r="C117" s="32">
        <v>0.10249999999999999</v>
      </c>
      <c r="D117" s="32">
        <v>8.7499999999999994E-2</v>
      </c>
      <c r="E117" s="32">
        <v>1.4999999999999999E-2</v>
      </c>
      <c r="F117" s="33">
        <v>5</v>
      </c>
      <c r="G117" s="34">
        <v>51.400000000000006</v>
      </c>
      <c r="H117" s="34">
        <v>27.45</v>
      </c>
      <c r="I117" s="34">
        <v>49.5</v>
      </c>
      <c r="J117" s="34">
        <v>49</v>
      </c>
      <c r="K117" s="34">
        <v>45.15</v>
      </c>
      <c r="L117" s="34">
        <v>51.2</v>
      </c>
      <c r="M117" s="34">
        <v>49.9</v>
      </c>
      <c r="N117" s="34">
        <v>48.4</v>
      </c>
      <c r="O117" s="40"/>
      <c r="P117" s="40"/>
      <c r="Q117" s="40"/>
      <c r="R117" s="35"/>
      <c r="S117" s="35"/>
      <c r="T117" s="35"/>
      <c r="U117" s="35"/>
      <c r="V117" s="35"/>
      <c r="W117" s="35"/>
      <c r="X117" s="35"/>
      <c r="Y117" s="35"/>
    </row>
    <row r="118" spans="1:25" x14ac:dyDescent="0.25">
      <c r="A118" s="3">
        <v>107</v>
      </c>
      <c r="B118" s="36"/>
      <c r="C118" s="32">
        <v>0.10249999999999999</v>
      </c>
      <c r="D118" s="32">
        <v>8.7499999999999994E-2</v>
      </c>
      <c r="E118" s="32">
        <v>1.4999999999999999E-2</v>
      </c>
      <c r="F118" s="33">
        <v>5</v>
      </c>
      <c r="G118" s="34">
        <v>51.5</v>
      </c>
      <c r="H118" s="34">
        <v>27.45</v>
      </c>
      <c r="I118" s="34">
        <v>49.5</v>
      </c>
      <c r="J118" s="34">
        <v>49</v>
      </c>
      <c r="K118" s="34">
        <v>45.15</v>
      </c>
      <c r="L118" s="34">
        <v>51.2</v>
      </c>
      <c r="M118" s="34">
        <v>49.9</v>
      </c>
      <c r="N118" s="34">
        <v>48.4</v>
      </c>
      <c r="O118" s="40"/>
      <c r="P118" s="40"/>
      <c r="Q118" s="40"/>
      <c r="R118" s="35"/>
      <c r="S118" s="35"/>
      <c r="T118" s="35"/>
      <c r="U118" s="35"/>
      <c r="V118" s="35"/>
      <c r="W118" s="35"/>
      <c r="X118" s="35"/>
      <c r="Y118" s="35"/>
    </row>
    <row r="119" spans="1:25" x14ac:dyDescent="0.25">
      <c r="A119" s="3">
        <v>108</v>
      </c>
      <c r="B119" s="36"/>
      <c r="C119" s="32">
        <v>0.10249999999999999</v>
      </c>
      <c r="D119" s="32">
        <v>8.7499999999999994E-2</v>
      </c>
      <c r="E119" s="32">
        <v>1.4999999999999999E-2</v>
      </c>
      <c r="F119" s="33">
        <v>5</v>
      </c>
      <c r="G119" s="34">
        <v>51.400000000000006</v>
      </c>
      <c r="H119" s="34">
        <v>27.45</v>
      </c>
      <c r="I119" s="34">
        <v>49.5</v>
      </c>
      <c r="J119" s="34">
        <v>49</v>
      </c>
      <c r="K119" s="34">
        <v>45.05</v>
      </c>
      <c r="L119" s="34">
        <v>51.2</v>
      </c>
      <c r="M119" s="34">
        <v>49.9</v>
      </c>
      <c r="N119" s="34">
        <v>48.3</v>
      </c>
      <c r="O119" s="40"/>
      <c r="P119" s="40"/>
      <c r="Q119" s="40"/>
      <c r="R119" s="35"/>
      <c r="S119" s="35"/>
      <c r="T119" s="35"/>
      <c r="U119" s="35"/>
      <c r="V119" s="35"/>
      <c r="W119" s="35"/>
      <c r="X119" s="35"/>
      <c r="Y119" s="35"/>
    </row>
    <row r="120" spans="1:25" x14ac:dyDescent="0.25">
      <c r="A120" s="3">
        <v>109</v>
      </c>
      <c r="B120" s="36"/>
      <c r="C120" s="32">
        <v>0.10249999999999999</v>
      </c>
      <c r="D120" s="32">
        <v>8.7499999999999994E-2</v>
      </c>
      <c r="E120" s="32">
        <v>1.4999999999999999E-2</v>
      </c>
      <c r="F120" s="33">
        <v>5</v>
      </c>
      <c r="G120" s="34">
        <v>51.4</v>
      </c>
      <c r="H120" s="34">
        <v>27.45</v>
      </c>
      <c r="I120" s="34">
        <v>49.5</v>
      </c>
      <c r="J120" s="34">
        <v>49</v>
      </c>
      <c r="K120" s="34">
        <v>45.05</v>
      </c>
      <c r="L120" s="34">
        <v>51.2</v>
      </c>
      <c r="M120" s="34">
        <v>49.9</v>
      </c>
      <c r="N120" s="34">
        <v>48.3</v>
      </c>
      <c r="O120" s="40"/>
      <c r="P120" s="40"/>
      <c r="Q120" s="40"/>
      <c r="R120" s="35"/>
      <c r="S120" s="35"/>
      <c r="T120" s="35"/>
      <c r="U120" s="35"/>
      <c r="V120" s="35"/>
      <c r="W120" s="35"/>
      <c r="X120" s="35"/>
      <c r="Y120" s="35"/>
    </row>
    <row r="121" spans="1:25" x14ac:dyDescent="0.25">
      <c r="A121" s="3">
        <v>110</v>
      </c>
      <c r="B121" s="36"/>
      <c r="C121" s="32">
        <v>0.10249999999999999</v>
      </c>
      <c r="D121" s="32">
        <v>8.7499999999999994E-2</v>
      </c>
      <c r="E121" s="32">
        <v>1.4999999999999999E-2</v>
      </c>
      <c r="F121" s="33">
        <v>5</v>
      </c>
      <c r="G121" s="34">
        <v>51.3</v>
      </c>
      <c r="H121" s="34">
        <v>27.35</v>
      </c>
      <c r="I121" s="34">
        <v>49.5</v>
      </c>
      <c r="J121" s="34">
        <v>49</v>
      </c>
      <c r="K121" s="34">
        <v>45.05</v>
      </c>
      <c r="L121" s="34">
        <v>51.2</v>
      </c>
      <c r="M121" s="34">
        <v>49.9</v>
      </c>
      <c r="N121" s="34">
        <v>48.3</v>
      </c>
      <c r="O121" s="40"/>
      <c r="P121" s="40"/>
      <c r="Q121" s="40"/>
      <c r="R121" s="35"/>
      <c r="S121" s="35"/>
      <c r="T121" s="35"/>
      <c r="U121" s="35"/>
      <c r="V121" s="35"/>
      <c r="W121" s="35"/>
      <c r="X121" s="35"/>
      <c r="Y121" s="35"/>
    </row>
    <row r="122" spans="1:25" x14ac:dyDescent="0.25">
      <c r="A122" s="36"/>
      <c r="B122" s="36"/>
      <c r="C122" s="39"/>
      <c r="D122" s="39"/>
      <c r="E122" s="39"/>
      <c r="F122" s="37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5"/>
      <c r="S122" s="35"/>
      <c r="T122" s="35"/>
      <c r="U122" s="35"/>
      <c r="V122" s="35"/>
      <c r="W122" s="35"/>
      <c r="X122" s="35"/>
      <c r="Y122" s="35"/>
    </row>
    <row r="123" spans="1:25" x14ac:dyDescent="0.25">
      <c r="A123" s="3">
        <v>111</v>
      </c>
      <c r="B123" s="4" t="s">
        <v>58</v>
      </c>
      <c r="C123" s="32">
        <v>0.46250000000000002</v>
      </c>
      <c r="D123" s="32">
        <v>9.5000000000000001E-2</v>
      </c>
      <c r="E123" s="32">
        <v>0.36750000000000005</v>
      </c>
      <c r="F123" s="41">
        <v>20</v>
      </c>
      <c r="G123" s="34">
        <v>52.349999999999994</v>
      </c>
      <c r="H123" s="34">
        <v>27.95</v>
      </c>
      <c r="I123" s="34">
        <v>49.9</v>
      </c>
      <c r="J123" s="34">
        <v>48.9</v>
      </c>
      <c r="K123" s="34">
        <v>46.650000000000006</v>
      </c>
      <c r="L123" s="38"/>
      <c r="M123" s="38"/>
      <c r="N123" s="38"/>
      <c r="O123" s="38"/>
      <c r="P123" s="38"/>
      <c r="Q123" s="38"/>
      <c r="R123" s="35"/>
      <c r="S123" s="35"/>
      <c r="T123" s="35"/>
      <c r="U123" s="35"/>
      <c r="V123" s="35"/>
      <c r="W123" s="35"/>
      <c r="X123" s="35"/>
      <c r="Y123" s="35"/>
    </row>
    <row r="124" spans="1:25" x14ac:dyDescent="0.25">
      <c r="A124" s="3">
        <v>112</v>
      </c>
      <c r="B124" s="36"/>
      <c r="C124" s="32">
        <v>0.46250000000000002</v>
      </c>
      <c r="D124" s="32">
        <v>9.5000000000000001E-2</v>
      </c>
      <c r="E124" s="32">
        <v>0.36750000000000005</v>
      </c>
      <c r="F124" s="41">
        <v>20</v>
      </c>
      <c r="G124" s="34">
        <v>52.25</v>
      </c>
      <c r="H124" s="34">
        <v>28.15</v>
      </c>
      <c r="I124" s="34">
        <v>49.9</v>
      </c>
      <c r="J124" s="34">
        <v>48.9</v>
      </c>
      <c r="K124" s="34">
        <v>46.6</v>
      </c>
      <c r="L124" s="38"/>
      <c r="M124" s="38"/>
      <c r="N124" s="38"/>
      <c r="O124" s="38"/>
      <c r="P124" s="38"/>
      <c r="Q124" s="38"/>
      <c r="R124" s="35"/>
      <c r="S124" s="35"/>
      <c r="T124" s="35"/>
      <c r="U124" s="35"/>
      <c r="V124" s="35"/>
      <c r="W124" s="35"/>
      <c r="X124" s="35"/>
      <c r="Y124" s="35"/>
    </row>
    <row r="125" spans="1:25" x14ac:dyDescent="0.25">
      <c r="A125" s="3">
        <v>113</v>
      </c>
      <c r="B125" s="36"/>
      <c r="C125" s="32">
        <v>0.46250000000000002</v>
      </c>
      <c r="D125" s="32">
        <v>9.5000000000000001E-2</v>
      </c>
      <c r="E125" s="32">
        <v>0.36750000000000005</v>
      </c>
      <c r="F125" s="41">
        <v>20</v>
      </c>
      <c r="G125" s="34">
        <v>52.35</v>
      </c>
      <c r="H125" s="34">
        <v>28.25</v>
      </c>
      <c r="I125" s="34">
        <v>49.9</v>
      </c>
      <c r="J125" s="34">
        <v>49</v>
      </c>
      <c r="K125" s="34">
        <v>46.7</v>
      </c>
      <c r="L125" s="38"/>
      <c r="M125" s="38"/>
      <c r="N125" s="38"/>
      <c r="O125" s="38"/>
      <c r="P125" s="38"/>
      <c r="Q125" s="38"/>
      <c r="R125" s="35"/>
      <c r="S125" s="35"/>
      <c r="T125" s="35"/>
      <c r="U125" s="35"/>
      <c r="V125" s="35"/>
      <c r="W125" s="35"/>
      <c r="X125" s="35"/>
      <c r="Y125" s="35"/>
    </row>
    <row r="126" spans="1:25" x14ac:dyDescent="0.25">
      <c r="A126" s="3">
        <v>114</v>
      </c>
      <c r="B126" s="36"/>
      <c r="C126" s="32">
        <v>0.46250000000000002</v>
      </c>
      <c r="D126" s="32">
        <v>9.5000000000000001E-2</v>
      </c>
      <c r="E126" s="32">
        <v>0.36750000000000005</v>
      </c>
      <c r="F126" s="41">
        <v>20</v>
      </c>
      <c r="G126" s="34">
        <v>52.25</v>
      </c>
      <c r="H126" s="34">
        <v>28.15</v>
      </c>
      <c r="I126" s="34">
        <v>49.9</v>
      </c>
      <c r="J126" s="34">
        <v>48.7</v>
      </c>
      <c r="K126" s="34">
        <v>46.6</v>
      </c>
      <c r="L126" s="38"/>
      <c r="M126" s="38"/>
      <c r="N126" s="38"/>
      <c r="O126" s="38"/>
      <c r="P126" s="38"/>
      <c r="Q126" s="38"/>
      <c r="R126" s="35"/>
      <c r="S126" s="35"/>
      <c r="T126" s="35"/>
      <c r="U126" s="35"/>
      <c r="V126" s="35"/>
      <c r="W126" s="35"/>
      <c r="X126" s="35"/>
      <c r="Y126" s="35"/>
    </row>
    <row r="127" spans="1:25" x14ac:dyDescent="0.25">
      <c r="A127" s="3">
        <v>115</v>
      </c>
      <c r="B127" s="36"/>
      <c r="C127" s="32">
        <v>0.46250000000000002</v>
      </c>
      <c r="D127" s="32">
        <v>9.5000000000000001E-2</v>
      </c>
      <c r="E127" s="32">
        <v>0.36750000000000005</v>
      </c>
      <c r="F127" s="41">
        <v>20</v>
      </c>
      <c r="G127" s="34">
        <v>52.25</v>
      </c>
      <c r="H127" s="34">
        <v>28.15</v>
      </c>
      <c r="I127" s="34">
        <v>49.9</v>
      </c>
      <c r="J127" s="34">
        <v>48.8</v>
      </c>
      <c r="K127" s="34">
        <v>46.7</v>
      </c>
      <c r="L127" s="38"/>
      <c r="M127" s="38"/>
      <c r="N127" s="38"/>
      <c r="O127" s="38"/>
      <c r="P127" s="38"/>
      <c r="Q127" s="38"/>
      <c r="R127" s="35"/>
      <c r="S127" s="35"/>
      <c r="T127" s="35"/>
      <c r="U127" s="35"/>
      <c r="V127" s="35"/>
      <c r="W127" s="35"/>
      <c r="X127" s="35"/>
      <c r="Y127" s="35"/>
    </row>
    <row r="128" spans="1:25" x14ac:dyDescent="0.25">
      <c r="A128" s="3">
        <v>116</v>
      </c>
      <c r="B128" s="36"/>
      <c r="C128" s="32">
        <v>0.46250000000000002</v>
      </c>
      <c r="D128" s="32">
        <v>9.5000000000000001E-2</v>
      </c>
      <c r="E128" s="32">
        <v>0.36750000000000005</v>
      </c>
      <c r="F128" s="41">
        <v>20</v>
      </c>
      <c r="G128" s="34">
        <v>52.35</v>
      </c>
      <c r="H128" s="34">
        <v>28.05</v>
      </c>
      <c r="I128" s="34">
        <v>49.8</v>
      </c>
      <c r="J128" s="34">
        <v>48.8</v>
      </c>
      <c r="K128" s="34">
        <v>46.6</v>
      </c>
      <c r="L128" s="38"/>
      <c r="M128" s="38"/>
      <c r="N128" s="38"/>
      <c r="O128" s="38"/>
      <c r="P128" s="38"/>
      <c r="Q128" s="38"/>
      <c r="R128" s="35"/>
      <c r="S128" s="35"/>
      <c r="T128" s="35"/>
      <c r="U128" s="35"/>
      <c r="V128" s="35"/>
      <c r="W128" s="35"/>
      <c r="X128" s="35"/>
      <c r="Y128" s="35"/>
    </row>
    <row r="129" spans="1:25" x14ac:dyDescent="0.25">
      <c r="A129" s="3">
        <v>117</v>
      </c>
      <c r="B129" s="36"/>
      <c r="C129" s="32">
        <v>0.46250000000000002</v>
      </c>
      <c r="D129" s="32">
        <v>9.5000000000000001E-2</v>
      </c>
      <c r="E129" s="32">
        <v>0.36750000000000005</v>
      </c>
      <c r="F129" s="41">
        <v>20</v>
      </c>
      <c r="G129" s="34">
        <v>52.35</v>
      </c>
      <c r="H129" s="34">
        <v>28.05</v>
      </c>
      <c r="I129" s="34">
        <v>49.8</v>
      </c>
      <c r="J129" s="34">
        <v>48.8</v>
      </c>
      <c r="K129" s="34">
        <v>46.7</v>
      </c>
      <c r="L129" s="38"/>
      <c r="M129" s="38"/>
      <c r="N129" s="38"/>
      <c r="O129" s="38"/>
      <c r="P129" s="38"/>
      <c r="Q129" s="38"/>
      <c r="R129" s="35"/>
      <c r="S129" s="35"/>
      <c r="T129" s="35"/>
      <c r="U129" s="35"/>
      <c r="V129" s="35"/>
      <c r="W129" s="35"/>
      <c r="X129" s="35"/>
      <c r="Y129" s="35"/>
    </row>
    <row r="130" spans="1:25" x14ac:dyDescent="0.25">
      <c r="A130" s="3">
        <v>118</v>
      </c>
      <c r="B130" s="36"/>
      <c r="C130" s="32">
        <v>0.46250000000000002</v>
      </c>
      <c r="D130" s="32">
        <v>9.5000000000000001E-2</v>
      </c>
      <c r="E130" s="32">
        <v>0.36750000000000005</v>
      </c>
      <c r="F130" s="41">
        <v>20</v>
      </c>
      <c r="G130" s="34">
        <v>52.25</v>
      </c>
      <c r="H130" s="34">
        <v>28.05</v>
      </c>
      <c r="I130" s="34">
        <v>49.8</v>
      </c>
      <c r="J130" s="34">
        <v>48.8</v>
      </c>
      <c r="K130" s="34">
        <v>46.650000000000006</v>
      </c>
      <c r="L130" s="38"/>
      <c r="M130" s="38"/>
      <c r="N130" s="38"/>
      <c r="O130" s="38"/>
      <c r="P130" s="38"/>
      <c r="Q130" s="38"/>
      <c r="R130" s="35"/>
      <c r="S130" s="35"/>
      <c r="T130" s="35"/>
      <c r="U130" s="35"/>
      <c r="V130" s="35"/>
      <c r="W130" s="35"/>
      <c r="X130" s="35"/>
      <c r="Y130" s="35"/>
    </row>
    <row r="131" spans="1:25" x14ac:dyDescent="0.25">
      <c r="A131" s="3">
        <v>119</v>
      </c>
      <c r="B131" s="36"/>
      <c r="C131" s="32">
        <v>0.46250000000000002</v>
      </c>
      <c r="D131" s="32">
        <v>9.5000000000000001E-2</v>
      </c>
      <c r="E131" s="32">
        <v>0.36750000000000005</v>
      </c>
      <c r="F131" s="41">
        <v>20</v>
      </c>
      <c r="G131" s="34">
        <v>52.35</v>
      </c>
      <c r="H131" s="34">
        <v>28.05</v>
      </c>
      <c r="I131" s="34">
        <v>49.8</v>
      </c>
      <c r="J131" s="34">
        <v>48.8</v>
      </c>
      <c r="K131" s="34">
        <v>46.5</v>
      </c>
      <c r="L131" s="38"/>
      <c r="M131" s="38"/>
      <c r="N131" s="38"/>
      <c r="O131" s="38"/>
      <c r="P131" s="38"/>
      <c r="Q131" s="38"/>
      <c r="R131" s="35"/>
      <c r="S131" s="35"/>
      <c r="T131" s="35"/>
      <c r="U131" s="35"/>
      <c r="V131" s="35"/>
      <c r="W131" s="35"/>
      <c r="X131" s="35"/>
      <c r="Y131" s="35"/>
    </row>
    <row r="132" spans="1:25" x14ac:dyDescent="0.25">
      <c r="A132" s="3">
        <v>120</v>
      </c>
      <c r="B132" s="36"/>
      <c r="C132" s="32">
        <v>0.46250000000000002</v>
      </c>
      <c r="D132" s="32">
        <v>9.5000000000000001E-2</v>
      </c>
      <c r="E132" s="32">
        <v>0.36750000000000005</v>
      </c>
      <c r="F132" s="41">
        <v>20</v>
      </c>
      <c r="G132" s="34">
        <v>52.349999999999994</v>
      </c>
      <c r="H132" s="34">
        <v>28.2</v>
      </c>
      <c r="I132" s="34">
        <v>49.9</v>
      </c>
      <c r="J132" s="34">
        <v>48.9</v>
      </c>
      <c r="K132" s="34">
        <v>46.75</v>
      </c>
      <c r="L132" s="38"/>
      <c r="M132" s="38"/>
      <c r="N132" s="38"/>
      <c r="O132" s="38"/>
      <c r="P132" s="38"/>
      <c r="Q132" s="38"/>
      <c r="R132" s="35"/>
      <c r="S132" s="35"/>
      <c r="T132" s="35"/>
      <c r="U132" s="35"/>
      <c r="V132" s="35"/>
      <c r="W132" s="35"/>
      <c r="X132" s="35"/>
      <c r="Y132" s="35"/>
    </row>
    <row r="133" spans="1:25" x14ac:dyDescent="0.25">
      <c r="A133" s="36"/>
      <c r="B133" s="36"/>
      <c r="C133" s="39"/>
      <c r="D133" s="39"/>
      <c r="E133" s="39"/>
      <c r="F133" s="37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5"/>
      <c r="S133" s="35"/>
      <c r="T133" s="35"/>
      <c r="U133" s="35"/>
      <c r="V133" s="35"/>
      <c r="W133" s="35"/>
      <c r="X133" s="35"/>
      <c r="Y133" s="35"/>
    </row>
    <row r="134" spans="1:25" x14ac:dyDescent="0.25">
      <c r="A134" s="3">
        <v>121</v>
      </c>
      <c r="B134" s="3" t="s">
        <v>59</v>
      </c>
      <c r="C134" s="32">
        <v>0.4</v>
      </c>
      <c r="D134" s="32">
        <v>0.1</v>
      </c>
      <c r="E134" s="32">
        <v>0.30000000000000004</v>
      </c>
      <c r="F134" s="33">
        <v>15</v>
      </c>
      <c r="G134" s="34">
        <v>53.45</v>
      </c>
      <c r="H134" s="34">
        <v>28.05</v>
      </c>
      <c r="I134" s="34">
        <v>50.9</v>
      </c>
      <c r="J134" s="34">
        <v>49.9</v>
      </c>
      <c r="K134" s="34">
        <v>47.5</v>
      </c>
      <c r="L134" s="38"/>
      <c r="M134" s="38"/>
      <c r="N134" s="38"/>
      <c r="O134" s="38"/>
      <c r="P134" s="38"/>
      <c r="Q134" s="38"/>
      <c r="R134" s="35"/>
      <c r="S134" s="35"/>
      <c r="T134" s="35"/>
      <c r="U134" s="35"/>
      <c r="V134" s="35"/>
      <c r="W134" s="35"/>
      <c r="X134" s="35"/>
      <c r="Y134" s="35"/>
    </row>
    <row r="135" spans="1:25" x14ac:dyDescent="0.25">
      <c r="A135" s="3">
        <v>122</v>
      </c>
      <c r="B135" s="36"/>
      <c r="C135" s="32">
        <v>0.4</v>
      </c>
      <c r="D135" s="32">
        <v>0.1</v>
      </c>
      <c r="E135" s="32">
        <v>0.30000000000000004</v>
      </c>
      <c r="F135" s="33">
        <v>15</v>
      </c>
      <c r="G135" s="34">
        <v>52.8</v>
      </c>
      <c r="H135" s="34">
        <v>28</v>
      </c>
      <c r="I135" s="34">
        <v>50</v>
      </c>
      <c r="J135" s="34">
        <v>49.2</v>
      </c>
      <c r="K135" s="34">
        <v>46.9</v>
      </c>
      <c r="L135" s="38"/>
      <c r="M135" s="38"/>
      <c r="N135" s="38"/>
      <c r="O135" s="38"/>
      <c r="P135" s="38"/>
      <c r="Q135" s="38"/>
      <c r="R135" s="35"/>
      <c r="S135" s="35"/>
      <c r="T135" s="35"/>
      <c r="U135" s="35"/>
      <c r="V135" s="35"/>
      <c r="W135" s="35"/>
      <c r="X135" s="35"/>
      <c r="Y135" s="35"/>
    </row>
    <row r="136" spans="1:25" x14ac:dyDescent="0.25">
      <c r="A136" s="3">
        <v>123</v>
      </c>
      <c r="B136" s="36"/>
      <c r="C136" s="32">
        <v>0.4</v>
      </c>
      <c r="D136" s="32">
        <v>0.1</v>
      </c>
      <c r="E136" s="32">
        <v>0.30000000000000004</v>
      </c>
      <c r="F136" s="33">
        <v>15</v>
      </c>
      <c r="G136" s="34">
        <v>53.25</v>
      </c>
      <c r="H136" s="34">
        <v>27.85</v>
      </c>
      <c r="I136" s="34">
        <v>50.7</v>
      </c>
      <c r="J136" s="34">
        <v>49.6</v>
      </c>
      <c r="K136" s="34">
        <v>47.35</v>
      </c>
      <c r="L136" s="38"/>
      <c r="M136" s="38"/>
      <c r="N136" s="38"/>
      <c r="O136" s="38"/>
      <c r="P136" s="38"/>
      <c r="Q136" s="38"/>
      <c r="R136" s="35"/>
      <c r="S136" s="35"/>
      <c r="T136" s="35"/>
      <c r="U136" s="35"/>
      <c r="V136" s="35"/>
      <c r="W136" s="35"/>
      <c r="X136" s="35"/>
      <c r="Y136" s="35"/>
    </row>
    <row r="137" spans="1:25" x14ac:dyDescent="0.25">
      <c r="A137" s="3">
        <v>124</v>
      </c>
      <c r="B137" s="36"/>
      <c r="C137" s="32">
        <v>0.4</v>
      </c>
      <c r="D137" s="32">
        <v>0.1</v>
      </c>
      <c r="E137" s="32">
        <v>0.30000000000000004</v>
      </c>
      <c r="F137" s="33">
        <v>15</v>
      </c>
      <c r="G137" s="34">
        <v>53.25</v>
      </c>
      <c r="H137" s="34">
        <v>27.85</v>
      </c>
      <c r="I137" s="34">
        <v>50.7</v>
      </c>
      <c r="J137" s="34">
        <v>49.6</v>
      </c>
      <c r="K137" s="34">
        <v>47.35</v>
      </c>
      <c r="L137" s="38"/>
      <c r="M137" s="38"/>
      <c r="N137" s="38"/>
      <c r="O137" s="38"/>
      <c r="P137" s="38"/>
      <c r="Q137" s="38"/>
      <c r="R137" s="35"/>
      <c r="S137" s="35"/>
      <c r="T137" s="35"/>
      <c r="U137" s="35"/>
      <c r="V137" s="35"/>
      <c r="W137" s="35"/>
      <c r="X137" s="35"/>
      <c r="Y137" s="35"/>
    </row>
    <row r="138" spans="1:25" x14ac:dyDescent="0.25">
      <c r="A138" s="3">
        <v>125</v>
      </c>
      <c r="B138" s="36"/>
      <c r="C138" s="32">
        <v>0.4</v>
      </c>
      <c r="D138" s="32">
        <v>0.1</v>
      </c>
      <c r="E138" s="32">
        <v>0.30000000000000004</v>
      </c>
      <c r="F138" s="33">
        <v>15</v>
      </c>
      <c r="G138" s="34">
        <v>53.25</v>
      </c>
      <c r="H138" s="34">
        <v>27.75</v>
      </c>
      <c r="I138" s="34">
        <v>50.6</v>
      </c>
      <c r="J138" s="34">
        <v>49.5</v>
      </c>
      <c r="K138" s="34">
        <v>47.25</v>
      </c>
      <c r="L138" s="38"/>
      <c r="M138" s="38"/>
      <c r="N138" s="38"/>
      <c r="O138" s="38"/>
      <c r="P138" s="38"/>
      <c r="Q138" s="38"/>
      <c r="R138" s="35"/>
      <c r="S138" s="35"/>
      <c r="T138" s="35"/>
      <c r="U138" s="35"/>
      <c r="V138" s="35"/>
      <c r="W138" s="35"/>
      <c r="X138" s="35"/>
      <c r="Y138" s="35"/>
    </row>
    <row r="139" spans="1:25" x14ac:dyDescent="0.25">
      <c r="A139" s="3">
        <v>126</v>
      </c>
      <c r="B139" s="36"/>
      <c r="C139" s="32">
        <v>0.4</v>
      </c>
      <c r="D139" s="32">
        <v>0.1</v>
      </c>
      <c r="E139" s="32">
        <v>0.30000000000000004</v>
      </c>
      <c r="F139" s="33">
        <v>15</v>
      </c>
      <c r="G139" s="34">
        <v>53.25</v>
      </c>
      <c r="H139" s="34">
        <v>27.75</v>
      </c>
      <c r="I139" s="34">
        <v>50.6</v>
      </c>
      <c r="J139" s="34">
        <v>49.7</v>
      </c>
      <c r="K139" s="34">
        <v>47.349999999999994</v>
      </c>
      <c r="L139" s="38"/>
      <c r="M139" s="38"/>
      <c r="N139" s="38"/>
      <c r="O139" s="38"/>
      <c r="P139" s="38"/>
      <c r="Q139" s="38"/>
      <c r="R139" s="35"/>
      <c r="S139" s="35"/>
      <c r="T139" s="35"/>
      <c r="U139" s="35"/>
      <c r="V139" s="35"/>
      <c r="W139" s="35"/>
      <c r="X139" s="35"/>
      <c r="Y139" s="35"/>
    </row>
    <row r="140" spans="1:25" x14ac:dyDescent="0.25">
      <c r="A140" s="3">
        <v>127</v>
      </c>
      <c r="B140" s="36"/>
      <c r="C140" s="32">
        <v>0.4</v>
      </c>
      <c r="D140" s="32">
        <v>0.1</v>
      </c>
      <c r="E140" s="32">
        <v>0.30000000000000004</v>
      </c>
      <c r="F140" s="33">
        <v>15</v>
      </c>
      <c r="G140" s="34">
        <v>53.2</v>
      </c>
      <c r="H140" s="34">
        <v>27.75</v>
      </c>
      <c r="I140" s="34">
        <v>50.6</v>
      </c>
      <c r="J140" s="34">
        <v>49.7</v>
      </c>
      <c r="K140" s="34">
        <v>47.349999999999994</v>
      </c>
      <c r="L140" s="38"/>
      <c r="M140" s="38"/>
      <c r="N140" s="38"/>
      <c r="O140" s="38"/>
      <c r="P140" s="38"/>
      <c r="Q140" s="38"/>
      <c r="R140" s="35"/>
      <c r="S140" s="35"/>
      <c r="T140" s="35"/>
      <c r="U140" s="35"/>
      <c r="V140" s="35"/>
      <c r="W140" s="35"/>
      <c r="X140" s="35"/>
      <c r="Y140" s="35"/>
    </row>
    <row r="141" spans="1:25" x14ac:dyDescent="0.25">
      <c r="A141" s="3">
        <v>128</v>
      </c>
      <c r="B141" s="36"/>
      <c r="C141" s="32">
        <v>0.4</v>
      </c>
      <c r="D141" s="32">
        <v>0.1</v>
      </c>
      <c r="E141" s="32">
        <v>0.30000000000000004</v>
      </c>
      <c r="F141" s="33">
        <v>15</v>
      </c>
      <c r="G141" s="34">
        <v>53.35</v>
      </c>
      <c r="H141" s="34">
        <v>27.75</v>
      </c>
      <c r="I141" s="34">
        <v>50.6</v>
      </c>
      <c r="J141" s="34">
        <v>49.7</v>
      </c>
      <c r="K141" s="34">
        <v>47.349999999999994</v>
      </c>
      <c r="L141" s="38"/>
      <c r="M141" s="38"/>
      <c r="N141" s="38"/>
      <c r="O141" s="38"/>
      <c r="P141" s="38"/>
      <c r="Q141" s="38"/>
      <c r="R141" s="35"/>
      <c r="S141" s="35"/>
      <c r="T141" s="35"/>
      <c r="U141" s="35"/>
      <c r="V141" s="35"/>
      <c r="W141" s="35"/>
      <c r="X141" s="35"/>
      <c r="Y141" s="35"/>
    </row>
    <row r="142" spans="1:25" x14ac:dyDescent="0.25">
      <c r="A142" s="3">
        <v>129</v>
      </c>
      <c r="B142" s="36"/>
      <c r="C142" s="32">
        <v>0.4</v>
      </c>
      <c r="D142" s="32">
        <v>0.1</v>
      </c>
      <c r="E142" s="32">
        <v>0.30000000000000004</v>
      </c>
      <c r="F142" s="33">
        <v>15</v>
      </c>
      <c r="G142" s="34">
        <v>53.45</v>
      </c>
      <c r="H142" s="34">
        <v>27.75</v>
      </c>
      <c r="I142" s="34">
        <v>50.6</v>
      </c>
      <c r="J142" s="34">
        <v>49.7</v>
      </c>
      <c r="K142" s="34">
        <v>47.349999999999994</v>
      </c>
      <c r="L142" s="38"/>
      <c r="M142" s="38"/>
      <c r="N142" s="38"/>
      <c r="O142" s="38"/>
      <c r="P142" s="38"/>
      <c r="Q142" s="38"/>
      <c r="R142" s="35"/>
      <c r="S142" s="35"/>
      <c r="T142" s="35"/>
      <c r="U142" s="35"/>
      <c r="V142" s="35"/>
      <c r="W142" s="35"/>
      <c r="X142" s="35"/>
      <c r="Y142" s="35"/>
    </row>
    <row r="143" spans="1:25" x14ac:dyDescent="0.25">
      <c r="A143" s="3">
        <v>130</v>
      </c>
      <c r="B143" s="36"/>
      <c r="C143" s="32">
        <v>0.4</v>
      </c>
      <c r="D143" s="32">
        <v>0.1</v>
      </c>
      <c r="E143" s="32">
        <v>0.30000000000000004</v>
      </c>
      <c r="F143" s="33">
        <v>15</v>
      </c>
      <c r="G143" s="34">
        <v>53.35</v>
      </c>
      <c r="H143" s="34">
        <v>27.75</v>
      </c>
      <c r="I143" s="34">
        <v>50.6</v>
      </c>
      <c r="J143" s="34">
        <v>49.7</v>
      </c>
      <c r="K143" s="34">
        <v>47.25</v>
      </c>
      <c r="L143" s="38"/>
      <c r="M143" s="38"/>
      <c r="N143" s="38"/>
      <c r="O143" s="38"/>
      <c r="P143" s="38"/>
      <c r="Q143" s="38"/>
      <c r="R143" s="35"/>
      <c r="S143" s="35"/>
      <c r="T143" s="35"/>
      <c r="U143" s="35"/>
      <c r="V143" s="35"/>
      <c r="W143" s="35"/>
      <c r="X143" s="35"/>
      <c r="Y143" s="35"/>
    </row>
    <row r="144" spans="1:25" x14ac:dyDescent="0.25">
      <c r="A144" s="36"/>
      <c r="B144" s="36"/>
      <c r="C144" s="39"/>
      <c r="D144" s="39"/>
      <c r="E144" s="39"/>
      <c r="F144" s="37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5"/>
      <c r="S144" s="35"/>
      <c r="T144" s="35"/>
      <c r="U144" s="35"/>
      <c r="V144" s="35"/>
      <c r="W144" s="35"/>
      <c r="X144" s="35"/>
      <c r="Y144" s="35"/>
    </row>
    <row r="145" spans="1:25" x14ac:dyDescent="0.25">
      <c r="A145" s="3">
        <v>131</v>
      </c>
      <c r="B145" s="3" t="s">
        <v>60</v>
      </c>
      <c r="C145" s="32">
        <v>0.24500000000000002</v>
      </c>
      <c r="D145" s="32">
        <v>9.5000000000000001E-2</v>
      </c>
      <c r="E145" s="32">
        <v>0.15000000000000002</v>
      </c>
      <c r="F145" s="33">
        <v>10</v>
      </c>
      <c r="G145" s="34">
        <v>49.8</v>
      </c>
      <c r="H145" s="34">
        <v>23.4</v>
      </c>
      <c r="I145" s="34">
        <v>49.5</v>
      </c>
      <c r="J145" s="34">
        <v>49.4</v>
      </c>
      <c r="K145" s="34">
        <v>45.8</v>
      </c>
      <c r="L145" s="36"/>
      <c r="M145" s="36"/>
      <c r="N145" s="38"/>
      <c r="O145" s="38"/>
      <c r="P145" s="38"/>
      <c r="Q145" s="38"/>
      <c r="R145" s="35"/>
      <c r="S145" s="35"/>
      <c r="T145" s="35"/>
      <c r="U145" s="35"/>
      <c r="V145" s="35"/>
      <c r="W145" s="35"/>
      <c r="X145" s="35"/>
      <c r="Y145" s="35"/>
    </row>
    <row r="146" spans="1:25" x14ac:dyDescent="0.25">
      <c r="A146" s="3">
        <v>132</v>
      </c>
      <c r="B146" s="36"/>
      <c r="C146" s="32">
        <v>0.24500000000000002</v>
      </c>
      <c r="D146" s="32">
        <v>9.5000000000000001E-2</v>
      </c>
      <c r="E146" s="32">
        <v>0.15000000000000002</v>
      </c>
      <c r="F146" s="33">
        <v>10</v>
      </c>
      <c r="G146" s="34">
        <v>50</v>
      </c>
      <c r="H146" s="34">
        <v>23.4</v>
      </c>
      <c r="I146" s="34">
        <v>49.8</v>
      </c>
      <c r="J146" s="34">
        <v>49.6</v>
      </c>
      <c r="K146" s="34">
        <v>46.2</v>
      </c>
      <c r="L146" s="36"/>
      <c r="M146" s="36"/>
      <c r="N146" s="38"/>
      <c r="O146" s="38"/>
      <c r="P146" s="38"/>
      <c r="Q146" s="38"/>
      <c r="R146" s="35"/>
      <c r="S146" s="35"/>
      <c r="T146" s="35"/>
      <c r="U146" s="35"/>
      <c r="V146" s="35"/>
      <c r="W146" s="35"/>
      <c r="X146" s="35"/>
      <c r="Y146" s="35"/>
    </row>
    <row r="147" spans="1:25" x14ac:dyDescent="0.25">
      <c r="A147" s="3">
        <v>133</v>
      </c>
      <c r="B147" s="36"/>
      <c r="C147" s="32">
        <v>0.24500000000000002</v>
      </c>
      <c r="D147" s="32">
        <v>9.5000000000000001E-2</v>
      </c>
      <c r="E147" s="32">
        <v>0.15000000000000002</v>
      </c>
      <c r="F147" s="33">
        <v>10</v>
      </c>
      <c r="G147" s="34">
        <v>50.25</v>
      </c>
      <c r="H147" s="34">
        <v>23.5</v>
      </c>
      <c r="I147" s="34">
        <v>50.1</v>
      </c>
      <c r="J147" s="34">
        <v>49.9</v>
      </c>
      <c r="K147" s="34">
        <v>46.400000000000006</v>
      </c>
      <c r="L147" s="36"/>
      <c r="M147" s="36"/>
      <c r="N147" s="38"/>
      <c r="O147" s="38"/>
      <c r="P147" s="38"/>
      <c r="Q147" s="38"/>
      <c r="R147" s="35"/>
      <c r="S147" s="35"/>
      <c r="T147" s="35"/>
      <c r="U147" s="35"/>
      <c r="V147" s="35"/>
      <c r="W147" s="35"/>
      <c r="X147" s="35"/>
      <c r="Y147" s="35"/>
    </row>
    <row r="148" spans="1:25" x14ac:dyDescent="0.25">
      <c r="A148" s="3">
        <v>134</v>
      </c>
      <c r="B148" s="36"/>
      <c r="C148" s="32">
        <v>0.24500000000000002</v>
      </c>
      <c r="D148" s="32">
        <v>9.5000000000000001E-2</v>
      </c>
      <c r="E148" s="32">
        <v>0.15000000000000002</v>
      </c>
      <c r="F148" s="33">
        <v>10</v>
      </c>
      <c r="G148" s="34">
        <v>50.5</v>
      </c>
      <c r="H148" s="34">
        <v>23.5</v>
      </c>
      <c r="I148" s="34">
        <v>50.4</v>
      </c>
      <c r="J148" s="34">
        <v>50.2</v>
      </c>
      <c r="K148" s="34">
        <v>46.599999999999994</v>
      </c>
      <c r="L148" s="36"/>
      <c r="M148" s="36"/>
      <c r="N148" s="38"/>
      <c r="O148" s="38"/>
      <c r="P148" s="38"/>
      <c r="Q148" s="38"/>
      <c r="R148" s="35"/>
      <c r="S148" s="35"/>
      <c r="T148" s="35"/>
      <c r="U148" s="35"/>
      <c r="V148" s="35"/>
      <c r="W148" s="35"/>
      <c r="X148" s="35"/>
      <c r="Y148" s="35"/>
    </row>
    <row r="149" spans="1:25" x14ac:dyDescent="0.25">
      <c r="A149" s="3">
        <v>135</v>
      </c>
      <c r="B149" s="36"/>
      <c r="C149" s="32">
        <v>0.24500000000000002</v>
      </c>
      <c r="D149" s="32">
        <v>9.5000000000000001E-2</v>
      </c>
      <c r="E149" s="32">
        <v>0.15000000000000002</v>
      </c>
      <c r="F149" s="33">
        <v>10</v>
      </c>
      <c r="G149" s="34">
        <v>50.75</v>
      </c>
      <c r="H149" s="34">
        <v>23.5</v>
      </c>
      <c r="I149" s="34">
        <v>50.4</v>
      </c>
      <c r="J149" s="34">
        <v>50.2</v>
      </c>
      <c r="K149" s="34">
        <v>46.75</v>
      </c>
      <c r="L149" s="36"/>
      <c r="M149" s="36"/>
      <c r="N149" s="38"/>
      <c r="O149" s="38"/>
      <c r="P149" s="38"/>
      <c r="Q149" s="38"/>
      <c r="R149" s="35"/>
      <c r="S149" s="35"/>
      <c r="T149" s="35"/>
      <c r="U149" s="35"/>
      <c r="V149" s="35"/>
      <c r="W149" s="35"/>
      <c r="X149" s="35"/>
      <c r="Y149" s="35"/>
    </row>
    <row r="150" spans="1:25" x14ac:dyDescent="0.25">
      <c r="A150" s="3">
        <v>136</v>
      </c>
      <c r="B150" s="36"/>
      <c r="C150" s="32">
        <v>0.24500000000000002</v>
      </c>
      <c r="D150" s="32">
        <v>9.5000000000000001E-2</v>
      </c>
      <c r="E150" s="32">
        <v>0.15000000000000002</v>
      </c>
      <c r="F150" s="33">
        <v>10</v>
      </c>
      <c r="G150" s="34">
        <v>50.95</v>
      </c>
      <c r="H150" s="34">
        <v>23.6</v>
      </c>
      <c r="I150" s="34">
        <v>50.7</v>
      </c>
      <c r="J150" s="34">
        <v>50.5</v>
      </c>
      <c r="K150" s="34">
        <v>47</v>
      </c>
      <c r="L150" s="36"/>
      <c r="M150" s="36"/>
      <c r="N150" s="38"/>
      <c r="O150" s="38"/>
      <c r="P150" s="38"/>
      <c r="Q150" s="38"/>
      <c r="R150" s="35"/>
      <c r="S150" s="35"/>
      <c r="T150" s="35"/>
      <c r="U150" s="35"/>
      <c r="V150" s="35"/>
      <c r="W150" s="35"/>
      <c r="X150" s="35"/>
      <c r="Y150" s="35"/>
    </row>
    <row r="151" spans="1:25" x14ac:dyDescent="0.25">
      <c r="A151" s="3">
        <v>137</v>
      </c>
      <c r="B151" s="36"/>
      <c r="C151" s="32">
        <v>0.24500000000000002</v>
      </c>
      <c r="D151" s="32">
        <v>9.5000000000000001E-2</v>
      </c>
      <c r="E151" s="32">
        <v>0.15000000000000002</v>
      </c>
      <c r="F151" s="33">
        <v>10</v>
      </c>
      <c r="G151" s="34">
        <v>51.15</v>
      </c>
      <c r="H151" s="34">
        <v>23.5</v>
      </c>
      <c r="I151" s="34">
        <v>50.9</v>
      </c>
      <c r="J151" s="34">
        <v>50.8</v>
      </c>
      <c r="K151" s="34">
        <v>47.15</v>
      </c>
      <c r="L151" s="36"/>
      <c r="M151" s="36"/>
      <c r="N151" s="38"/>
      <c r="O151" s="38"/>
      <c r="P151" s="38"/>
      <c r="Q151" s="38"/>
      <c r="R151" s="35"/>
      <c r="S151" s="35"/>
      <c r="T151" s="35"/>
      <c r="U151" s="35"/>
      <c r="V151" s="35"/>
      <c r="W151" s="35"/>
      <c r="X151" s="35"/>
      <c r="Y151" s="35"/>
    </row>
    <row r="152" spans="1:25" x14ac:dyDescent="0.25">
      <c r="A152" s="3">
        <v>138</v>
      </c>
      <c r="B152" s="36"/>
      <c r="C152" s="32">
        <v>0.24500000000000002</v>
      </c>
      <c r="D152" s="32">
        <v>9.5000000000000001E-2</v>
      </c>
      <c r="E152" s="32">
        <v>0.15000000000000002</v>
      </c>
      <c r="F152" s="33">
        <v>10</v>
      </c>
      <c r="G152" s="34">
        <v>51.400000000000006</v>
      </c>
      <c r="H152" s="34">
        <v>23.6</v>
      </c>
      <c r="I152" s="34">
        <v>51.2</v>
      </c>
      <c r="J152" s="34">
        <v>51</v>
      </c>
      <c r="K152" s="34">
        <v>47.400000000000006</v>
      </c>
      <c r="L152" s="36"/>
      <c r="M152" s="36"/>
      <c r="N152" s="38"/>
      <c r="O152" s="38"/>
      <c r="P152" s="38"/>
      <c r="Q152" s="38"/>
      <c r="R152" s="35"/>
      <c r="S152" s="35"/>
      <c r="T152" s="35"/>
      <c r="U152" s="35"/>
      <c r="V152" s="35"/>
      <c r="W152" s="35"/>
      <c r="X152" s="35"/>
      <c r="Y152" s="35"/>
    </row>
    <row r="153" spans="1:25" x14ac:dyDescent="0.25">
      <c r="A153" s="3">
        <v>139</v>
      </c>
      <c r="B153" s="36"/>
      <c r="C153" s="32">
        <v>0.24500000000000002</v>
      </c>
      <c r="D153" s="32">
        <v>9.5000000000000001E-2</v>
      </c>
      <c r="E153" s="32">
        <v>0.15000000000000002</v>
      </c>
      <c r="F153" s="33">
        <v>10</v>
      </c>
      <c r="G153" s="34">
        <v>51.55</v>
      </c>
      <c r="H153" s="34">
        <v>23.7</v>
      </c>
      <c r="I153" s="34">
        <v>51.3</v>
      </c>
      <c r="J153" s="34">
        <v>51.3</v>
      </c>
      <c r="K153" s="34">
        <v>47.599999999999994</v>
      </c>
      <c r="L153" s="36"/>
      <c r="M153" s="36"/>
      <c r="N153" s="38"/>
      <c r="O153" s="38"/>
      <c r="P153" s="38"/>
      <c r="Q153" s="38"/>
      <c r="R153" s="35"/>
      <c r="S153" s="35"/>
      <c r="T153" s="35"/>
      <c r="U153" s="35"/>
      <c r="V153" s="35"/>
      <c r="W153" s="35"/>
      <c r="X153" s="35"/>
      <c r="Y153" s="35"/>
    </row>
    <row r="154" spans="1:25" x14ac:dyDescent="0.25">
      <c r="A154" s="3">
        <v>140</v>
      </c>
      <c r="B154" s="36"/>
      <c r="C154" s="32">
        <v>0.24500000000000002</v>
      </c>
      <c r="D154" s="32">
        <v>9.5000000000000001E-2</v>
      </c>
      <c r="E154" s="32">
        <v>0.15000000000000002</v>
      </c>
      <c r="F154" s="33">
        <v>10</v>
      </c>
      <c r="G154" s="34">
        <v>51.75</v>
      </c>
      <c r="H154" s="34">
        <v>23.7</v>
      </c>
      <c r="I154" s="34">
        <v>51.5</v>
      </c>
      <c r="J154" s="34">
        <v>51.3</v>
      </c>
      <c r="K154" s="34">
        <v>47.6</v>
      </c>
      <c r="L154" s="36"/>
      <c r="M154" s="36"/>
      <c r="N154" s="38"/>
      <c r="O154" s="38"/>
      <c r="P154" s="38"/>
      <c r="Q154" s="38"/>
      <c r="R154" s="35"/>
      <c r="S154" s="35"/>
      <c r="T154" s="35"/>
      <c r="U154" s="35"/>
      <c r="V154" s="35"/>
      <c r="W154" s="35"/>
      <c r="X154" s="35"/>
      <c r="Y154" s="35"/>
    </row>
    <row r="155" spans="1:25" x14ac:dyDescent="0.25">
      <c r="A155" s="36"/>
      <c r="B155" s="36"/>
      <c r="C155" s="39"/>
      <c r="D155" s="39"/>
      <c r="E155" s="39"/>
      <c r="F155" s="37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5"/>
      <c r="S155" s="35"/>
      <c r="T155" s="35"/>
      <c r="U155" s="35"/>
      <c r="V155" s="35"/>
      <c r="W155" s="35"/>
      <c r="X155" s="35"/>
      <c r="Y155" s="35"/>
    </row>
    <row r="156" spans="1:25" x14ac:dyDescent="0.25">
      <c r="A156" s="3">
        <v>141</v>
      </c>
      <c r="B156" s="3" t="s">
        <v>61</v>
      </c>
      <c r="C156" s="32">
        <v>0.21249999999999999</v>
      </c>
      <c r="D156" s="32">
        <v>0.1</v>
      </c>
      <c r="E156" s="32">
        <v>0.11249999999999999</v>
      </c>
      <c r="F156" s="33">
        <v>5</v>
      </c>
      <c r="G156" s="34">
        <v>51.05</v>
      </c>
      <c r="H156" s="34">
        <v>26.75</v>
      </c>
      <c r="I156" s="34">
        <v>50.7</v>
      </c>
      <c r="J156" s="34">
        <v>49.5</v>
      </c>
      <c r="K156" s="34">
        <v>48.1</v>
      </c>
      <c r="L156" s="38"/>
      <c r="M156" s="38"/>
      <c r="N156" s="38"/>
      <c r="O156" s="40"/>
      <c r="P156" s="40"/>
      <c r="Q156" s="40"/>
      <c r="R156" s="35"/>
      <c r="S156" s="35"/>
      <c r="T156" s="35"/>
      <c r="U156" s="35"/>
      <c r="V156" s="35"/>
      <c r="W156" s="35"/>
      <c r="X156" s="35"/>
      <c r="Y156" s="35"/>
    </row>
    <row r="157" spans="1:25" x14ac:dyDescent="0.25">
      <c r="A157" s="3">
        <v>142</v>
      </c>
      <c r="B157" s="36"/>
      <c r="C157" s="32">
        <v>0.21249999999999999</v>
      </c>
      <c r="D157" s="32">
        <v>0.1</v>
      </c>
      <c r="E157" s="32">
        <v>0.11249999999999999</v>
      </c>
      <c r="F157" s="33">
        <v>5</v>
      </c>
      <c r="G157" s="34">
        <v>51.25</v>
      </c>
      <c r="H157" s="34">
        <v>26.65</v>
      </c>
      <c r="I157" s="34">
        <v>50.7</v>
      </c>
      <c r="J157" s="34">
        <v>49.5</v>
      </c>
      <c r="K157" s="34">
        <v>48.1</v>
      </c>
      <c r="L157" s="38"/>
      <c r="M157" s="38"/>
      <c r="N157" s="38"/>
      <c r="O157" s="40"/>
      <c r="P157" s="40"/>
      <c r="Q157" s="40"/>
      <c r="R157" s="35"/>
      <c r="S157" s="35"/>
      <c r="T157" s="35"/>
      <c r="U157" s="35"/>
      <c r="V157" s="35"/>
      <c r="W157" s="35"/>
      <c r="X157" s="35"/>
      <c r="Y157" s="35"/>
    </row>
    <row r="158" spans="1:25" x14ac:dyDescent="0.25">
      <c r="A158" s="3">
        <v>143</v>
      </c>
      <c r="B158" s="36"/>
      <c r="C158" s="32">
        <v>0.21249999999999999</v>
      </c>
      <c r="D158" s="32">
        <v>0.1</v>
      </c>
      <c r="E158" s="32">
        <v>0.11249999999999999</v>
      </c>
      <c r="F158" s="33">
        <v>5</v>
      </c>
      <c r="G158" s="34">
        <v>50.85</v>
      </c>
      <c r="H158" s="34">
        <v>26.65</v>
      </c>
      <c r="I158" s="34">
        <v>50.7</v>
      </c>
      <c r="J158" s="34">
        <v>49.5</v>
      </c>
      <c r="K158" s="34">
        <v>48.1</v>
      </c>
      <c r="L158" s="38"/>
      <c r="M158" s="38"/>
      <c r="N158" s="38"/>
      <c r="O158" s="40"/>
      <c r="P158" s="40"/>
      <c r="Q158" s="40"/>
      <c r="R158" s="35"/>
      <c r="S158" s="35"/>
      <c r="T158" s="35"/>
      <c r="U158" s="35"/>
      <c r="V158" s="35"/>
      <c r="W158" s="35"/>
      <c r="X158" s="35"/>
      <c r="Y158" s="35"/>
    </row>
    <row r="159" spans="1:25" x14ac:dyDescent="0.25">
      <c r="A159" s="3">
        <v>144</v>
      </c>
      <c r="B159" s="36"/>
      <c r="C159" s="32">
        <v>0.21249999999999999</v>
      </c>
      <c r="D159" s="32">
        <v>0.1</v>
      </c>
      <c r="E159" s="32">
        <v>0.11249999999999999</v>
      </c>
      <c r="F159" s="33">
        <v>5</v>
      </c>
      <c r="G159" s="34">
        <v>51</v>
      </c>
      <c r="H159" s="34">
        <v>26.65</v>
      </c>
      <c r="I159" s="34">
        <v>50.7</v>
      </c>
      <c r="J159" s="34">
        <v>49.5</v>
      </c>
      <c r="K159" s="34">
        <v>48.1</v>
      </c>
      <c r="L159" s="38"/>
      <c r="M159" s="38"/>
      <c r="N159" s="38"/>
      <c r="O159" s="40"/>
      <c r="P159" s="40"/>
      <c r="Q159" s="40"/>
      <c r="R159" s="35"/>
      <c r="S159" s="35"/>
      <c r="T159" s="35"/>
      <c r="U159" s="35"/>
      <c r="V159" s="35"/>
      <c r="W159" s="35"/>
      <c r="X159" s="35"/>
      <c r="Y159" s="35"/>
    </row>
    <row r="160" spans="1:25" x14ac:dyDescent="0.25">
      <c r="A160" s="3">
        <v>145</v>
      </c>
      <c r="B160" s="36"/>
      <c r="C160" s="32">
        <v>0.21249999999999999</v>
      </c>
      <c r="D160" s="32">
        <v>0.1</v>
      </c>
      <c r="E160" s="32">
        <v>0.11249999999999999</v>
      </c>
      <c r="F160" s="33">
        <v>5</v>
      </c>
      <c r="G160" s="34">
        <v>51.15</v>
      </c>
      <c r="H160" s="34">
        <v>26.65</v>
      </c>
      <c r="I160" s="34">
        <v>50.7</v>
      </c>
      <c r="J160" s="34">
        <v>49.5</v>
      </c>
      <c r="K160" s="34">
        <v>48.2</v>
      </c>
      <c r="L160" s="38"/>
      <c r="M160" s="38"/>
      <c r="N160" s="38"/>
      <c r="O160" s="40"/>
      <c r="P160" s="40"/>
      <c r="Q160" s="40"/>
      <c r="R160" s="35"/>
      <c r="S160" s="35"/>
      <c r="T160" s="35"/>
      <c r="U160" s="35"/>
      <c r="V160" s="35"/>
      <c r="W160" s="35"/>
      <c r="X160" s="35"/>
      <c r="Y160" s="35"/>
    </row>
    <row r="161" spans="1:25" x14ac:dyDescent="0.25">
      <c r="A161" s="3">
        <v>146</v>
      </c>
      <c r="B161" s="36"/>
      <c r="C161" s="32">
        <v>0.21249999999999999</v>
      </c>
      <c r="D161" s="32">
        <v>0.1</v>
      </c>
      <c r="E161" s="32">
        <v>0.11249999999999999</v>
      </c>
      <c r="F161" s="33">
        <v>5</v>
      </c>
      <c r="G161" s="34">
        <v>51</v>
      </c>
      <c r="H161" s="34">
        <v>26.65</v>
      </c>
      <c r="I161" s="34">
        <v>50.7</v>
      </c>
      <c r="J161" s="34">
        <v>49.5</v>
      </c>
      <c r="K161" s="34">
        <v>48.2</v>
      </c>
      <c r="L161" s="38"/>
      <c r="M161" s="38"/>
      <c r="N161" s="38"/>
      <c r="O161" s="40"/>
      <c r="P161" s="40"/>
      <c r="Q161" s="40"/>
      <c r="R161" s="35"/>
      <c r="S161" s="35"/>
      <c r="T161" s="35"/>
      <c r="U161" s="35"/>
      <c r="V161" s="35"/>
      <c r="W161" s="35"/>
      <c r="X161" s="35"/>
      <c r="Y161" s="35"/>
    </row>
    <row r="162" spans="1:25" x14ac:dyDescent="0.25">
      <c r="A162" s="3">
        <v>147</v>
      </c>
      <c r="B162" s="36"/>
      <c r="C162" s="32">
        <v>0.21249999999999999</v>
      </c>
      <c r="D162" s="32">
        <v>0.1</v>
      </c>
      <c r="E162" s="32">
        <v>0.11249999999999999</v>
      </c>
      <c r="F162" s="33">
        <v>5</v>
      </c>
      <c r="G162" s="34">
        <v>51.3</v>
      </c>
      <c r="H162" s="34">
        <v>26.75</v>
      </c>
      <c r="I162" s="34">
        <v>50.7</v>
      </c>
      <c r="J162" s="34">
        <v>49.5</v>
      </c>
      <c r="K162" s="34">
        <v>48.2</v>
      </c>
      <c r="L162" s="38"/>
      <c r="M162" s="38"/>
      <c r="N162" s="38"/>
      <c r="O162" s="40"/>
      <c r="P162" s="40"/>
      <c r="Q162" s="40"/>
      <c r="R162" s="35"/>
      <c r="S162" s="35"/>
      <c r="T162" s="35"/>
      <c r="U162" s="35"/>
      <c r="V162" s="35"/>
      <c r="W162" s="35"/>
      <c r="X162" s="35"/>
      <c r="Y162" s="35"/>
    </row>
    <row r="163" spans="1:25" x14ac:dyDescent="0.25">
      <c r="A163" s="3">
        <v>148</v>
      </c>
      <c r="B163" s="36"/>
      <c r="C163" s="32">
        <v>0.21249999999999999</v>
      </c>
      <c r="D163" s="32">
        <v>0.1</v>
      </c>
      <c r="E163" s="32">
        <v>0.11249999999999999</v>
      </c>
      <c r="F163" s="33">
        <v>5</v>
      </c>
      <c r="G163" s="34">
        <v>50.95</v>
      </c>
      <c r="H163" s="34">
        <v>26.75</v>
      </c>
      <c r="I163" s="34">
        <v>50.7</v>
      </c>
      <c r="J163" s="34">
        <v>49.5</v>
      </c>
      <c r="K163" s="34">
        <v>48.1</v>
      </c>
      <c r="L163" s="38"/>
      <c r="M163" s="38"/>
      <c r="N163" s="38"/>
      <c r="O163" s="40"/>
      <c r="P163" s="40"/>
      <c r="Q163" s="40"/>
      <c r="R163" s="35"/>
      <c r="S163" s="35"/>
      <c r="T163" s="35"/>
      <c r="U163" s="35"/>
      <c r="V163" s="35"/>
      <c r="W163" s="35"/>
      <c r="X163" s="35"/>
      <c r="Y163" s="35"/>
    </row>
    <row r="164" spans="1:25" x14ac:dyDescent="0.25">
      <c r="A164" s="3">
        <v>149</v>
      </c>
      <c r="B164" s="36"/>
      <c r="C164" s="32">
        <v>0.21249999999999999</v>
      </c>
      <c r="D164" s="32">
        <v>0.1</v>
      </c>
      <c r="E164" s="32">
        <v>0.11249999999999999</v>
      </c>
      <c r="F164" s="33">
        <v>5</v>
      </c>
      <c r="G164" s="34">
        <v>51.150000000000006</v>
      </c>
      <c r="H164" s="34">
        <v>26.65</v>
      </c>
      <c r="I164" s="34">
        <v>50.7</v>
      </c>
      <c r="J164" s="34">
        <v>49.5</v>
      </c>
      <c r="K164" s="34">
        <v>48.1</v>
      </c>
      <c r="L164" s="38"/>
      <c r="M164" s="38"/>
      <c r="N164" s="38"/>
      <c r="O164" s="40"/>
      <c r="P164" s="40"/>
      <c r="Q164" s="40"/>
      <c r="R164" s="35"/>
      <c r="S164" s="35"/>
      <c r="T164" s="35"/>
      <c r="U164" s="35"/>
      <c r="V164" s="35"/>
      <c r="W164" s="35"/>
      <c r="X164" s="35"/>
      <c r="Y164" s="35"/>
    </row>
    <row r="165" spans="1:25" x14ac:dyDescent="0.25">
      <c r="A165" s="3">
        <v>150</v>
      </c>
      <c r="B165" s="36"/>
      <c r="C165" s="32">
        <v>0.21249999999999999</v>
      </c>
      <c r="D165" s="32">
        <v>0.1</v>
      </c>
      <c r="E165" s="32">
        <v>0.11249999999999999</v>
      </c>
      <c r="F165" s="33">
        <v>5</v>
      </c>
      <c r="G165" s="34">
        <v>51.05</v>
      </c>
      <c r="H165" s="34">
        <v>26.65</v>
      </c>
      <c r="I165" s="34">
        <v>50.7</v>
      </c>
      <c r="J165" s="34">
        <v>49.7</v>
      </c>
      <c r="K165" s="34">
        <v>48.3</v>
      </c>
      <c r="L165" s="38"/>
      <c r="M165" s="38"/>
      <c r="N165" s="38"/>
      <c r="O165" s="40"/>
      <c r="P165" s="40"/>
      <c r="Q165" s="40"/>
      <c r="R165" s="35"/>
      <c r="S165" s="35"/>
      <c r="T165" s="35"/>
      <c r="U165" s="35"/>
      <c r="V165" s="35"/>
      <c r="W165" s="35"/>
      <c r="X165" s="35"/>
      <c r="Y165" s="35"/>
    </row>
    <row r="166" spans="1:25" x14ac:dyDescent="0.25">
      <c r="A166" s="36"/>
      <c r="B166" s="36"/>
      <c r="C166" s="39"/>
      <c r="D166" s="39"/>
      <c r="E166" s="39"/>
      <c r="F166" s="37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5"/>
      <c r="S166" s="35"/>
      <c r="T166" s="35"/>
      <c r="U166" s="35"/>
      <c r="V166" s="35"/>
      <c r="W166" s="35"/>
      <c r="X166" s="35"/>
      <c r="Y166" s="35"/>
    </row>
    <row r="167" spans="1:25" x14ac:dyDescent="0.25">
      <c r="A167" s="3">
        <v>151</v>
      </c>
      <c r="B167" s="3" t="s">
        <v>62</v>
      </c>
      <c r="C167" s="32">
        <v>0.33750000000000002</v>
      </c>
      <c r="D167" s="32">
        <v>0.10750000000000001</v>
      </c>
      <c r="E167" s="32">
        <v>0.23</v>
      </c>
      <c r="F167" s="33">
        <v>30</v>
      </c>
      <c r="G167" s="34">
        <v>58.6</v>
      </c>
      <c r="H167" s="34">
        <v>25.15</v>
      </c>
      <c r="I167" s="34">
        <v>58</v>
      </c>
      <c r="J167" s="34">
        <v>57.3</v>
      </c>
      <c r="K167" s="34">
        <v>53.95</v>
      </c>
      <c r="L167" s="34">
        <v>57.6</v>
      </c>
      <c r="M167" s="34">
        <v>56.9</v>
      </c>
      <c r="N167" s="34">
        <v>56.849999999999994</v>
      </c>
      <c r="O167" s="34">
        <v>58</v>
      </c>
      <c r="P167" s="34">
        <v>57.6</v>
      </c>
      <c r="Q167" s="34">
        <v>56.05</v>
      </c>
      <c r="R167" s="35"/>
      <c r="S167" s="35"/>
      <c r="T167" s="35"/>
      <c r="U167" s="35"/>
      <c r="V167" s="35"/>
      <c r="W167" s="35"/>
      <c r="X167" s="35"/>
      <c r="Y167" s="35"/>
    </row>
    <row r="168" spans="1:25" x14ac:dyDescent="0.25">
      <c r="A168" s="3">
        <v>152</v>
      </c>
      <c r="B168" s="36"/>
      <c r="C168" s="32">
        <v>0.33750000000000002</v>
      </c>
      <c r="D168" s="32">
        <v>0.10750000000000001</v>
      </c>
      <c r="E168" s="32">
        <v>0.23</v>
      </c>
      <c r="F168" s="33">
        <v>30</v>
      </c>
      <c r="G168" s="34">
        <v>58.6</v>
      </c>
      <c r="H168" s="34">
        <v>25.15</v>
      </c>
      <c r="I168" s="34">
        <v>58</v>
      </c>
      <c r="J168" s="34">
        <v>57.3</v>
      </c>
      <c r="K168" s="34">
        <v>53.65</v>
      </c>
      <c r="L168" s="34">
        <v>57.8</v>
      </c>
      <c r="M168" s="34">
        <v>57.1</v>
      </c>
      <c r="N168" s="34">
        <v>56.8</v>
      </c>
      <c r="O168" s="34">
        <v>58</v>
      </c>
      <c r="P168" s="34">
        <v>57.6</v>
      </c>
      <c r="Q168" s="34">
        <v>55.849999999999994</v>
      </c>
      <c r="R168" s="35"/>
      <c r="S168" s="35"/>
      <c r="T168" s="35"/>
      <c r="U168" s="35"/>
      <c r="V168" s="35"/>
      <c r="W168" s="35"/>
      <c r="X168" s="35"/>
      <c r="Y168" s="35"/>
    </row>
    <row r="169" spans="1:25" x14ac:dyDescent="0.25">
      <c r="A169" s="3">
        <v>153</v>
      </c>
      <c r="B169" s="36"/>
      <c r="C169" s="32">
        <v>0.33750000000000002</v>
      </c>
      <c r="D169" s="32">
        <v>0.10750000000000001</v>
      </c>
      <c r="E169" s="32">
        <v>0.23</v>
      </c>
      <c r="F169" s="33">
        <v>30</v>
      </c>
      <c r="G169" s="34">
        <v>58.7</v>
      </c>
      <c r="H169" s="34">
        <v>25.15</v>
      </c>
      <c r="I169" s="34">
        <v>58</v>
      </c>
      <c r="J169" s="34">
        <v>57.3</v>
      </c>
      <c r="K169" s="34">
        <v>53.75</v>
      </c>
      <c r="L169" s="34">
        <v>57.8</v>
      </c>
      <c r="M169" s="34">
        <v>57.1</v>
      </c>
      <c r="N169" s="34">
        <v>56.8</v>
      </c>
      <c r="O169" s="34">
        <v>58</v>
      </c>
      <c r="P169" s="34">
        <v>57.6</v>
      </c>
      <c r="Q169" s="34">
        <v>55.95</v>
      </c>
      <c r="R169" s="35"/>
      <c r="S169" s="35"/>
      <c r="T169" s="35"/>
      <c r="U169" s="35"/>
      <c r="V169" s="35"/>
      <c r="W169" s="35"/>
      <c r="X169" s="35"/>
      <c r="Y169" s="35"/>
    </row>
    <row r="170" spans="1:25" x14ac:dyDescent="0.25">
      <c r="A170" s="3">
        <v>154</v>
      </c>
      <c r="B170" s="36"/>
      <c r="C170" s="32">
        <v>0.33750000000000002</v>
      </c>
      <c r="D170" s="32">
        <v>0.10750000000000001</v>
      </c>
      <c r="E170" s="32">
        <v>0.23</v>
      </c>
      <c r="F170" s="33">
        <v>30</v>
      </c>
      <c r="G170" s="34">
        <v>58.9</v>
      </c>
      <c r="H170" s="34">
        <v>25.4</v>
      </c>
      <c r="I170" s="34">
        <v>58.1</v>
      </c>
      <c r="J170" s="34">
        <v>57.5</v>
      </c>
      <c r="K170" s="34">
        <v>53.85</v>
      </c>
      <c r="L170" s="34">
        <v>57.9</v>
      </c>
      <c r="M170" s="34">
        <v>57.2</v>
      </c>
      <c r="N170" s="34">
        <v>56.95</v>
      </c>
      <c r="O170" s="34">
        <v>58.1</v>
      </c>
      <c r="P170" s="34">
        <v>57.7</v>
      </c>
      <c r="Q170" s="34">
        <v>56.150000000000006</v>
      </c>
      <c r="R170" s="35"/>
      <c r="S170" s="35"/>
      <c r="T170" s="35"/>
      <c r="U170" s="35"/>
      <c r="V170" s="35"/>
      <c r="W170" s="35"/>
      <c r="X170" s="35"/>
      <c r="Y170" s="35"/>
    </row>
    <row r="171" spans="1:25" x14ac:dyDescent="0.25">
      <c r="A171" s="3">
        <v>155</v>
      </c>
      <c r="B171" s="36"/>
      <c r="C171" s="32">
        <v>0.33750000000000002</v>
      </c>
      <c r="D171" s="32">
        <v>0.10750000000000001</v>
      </c>
      <c r="E171" s="32">
        <v>0.23</v>
      </c>
      <c r="F171" s="33">
        <v>30</v>
      </c>
      <c r="G171" s="34">
        <v>58.9</v>
      </c>
      <c r="H171" s="34">
        <v>25.4</v>
      </c>
      <c r="I171" s="34">
        <v>58.1</v>
      </c>
      <c r="J171" s="34">
        <v>57.5</v>
      </c>
      <c r="K171" s="34">
        <v>54.05</v>
      </c>
      <c r="L171" s="34">
        <v>57.9</v>
      </c>
      <c r="M171" s="34">
        <v>57.2</v>
      </c>
      <c r="N171" s="34">
        <v>57.05</v>
      </c>
      <c r="O171" s="34">
        <v>58.1</v>
      </c>
      <c r="P171" s="34">
        <v>57.7</v>
      </c>
      <c r="Q171" s="34">
        <v>56.35</v>
      </c>
      <c r="R171" s="35"/>
      <c r="S171" s="35"/>
      <c r="T171" s="35"/>
      <c r="U171" s="35"/>
      <c r="V171" s="35"/>
      <c r="W171" s="35"/>
      <c r="X171" s="35"/>
      <c r="Y171" s="35"/>
    </row>
    <row r="172" spans="1:25" x14ac:dyDescent="0.25">
      <c r="A172" s="3">
        <v>156</v>
      </c>
      <c r="B172" s="36"/>
      <c r="C172" s="32">
        <v>0.33750000000000002</v>
      </c>
      <c r="D172" s="32">
        <v>0.10750000000000001</v>
      </c>
      <c r="E172" s="32">
        <v>0.23</v>
      </c>
      <c r="F172" s="33">
        <v>30</v>
      </c>
      <c r="G172" s="34">
        <v>58.9</v>
      </c>
      <c r="H172" s="34">
        <v>25.3</v>
      </c>
      <c r="I172" s="34">
        <v>58.2</v>
      </c>
      <c r="J172" s="34">
        <v>57.5</v>
      </c>
      <c r="K172" s="34">
        <v>54.05</v>
      </c>
      <c r="L172" s="34">
        <v>57.9</v>
      </c>
      <c r="M172" s="34">
        <v>57.2</v>
      </c>
      <c r="N172" s="34">
        <v>57.05</v>
      </c>
      <c r="O172" s="34">
        <v>58.2</v>
      </c>
      <c r="P172" s="34">
        <v>57.7</v>
      </c>
      <c r="Q172" s="34">
        <v>56.15</v>
      </c>
      <c r="R172" s="35"/>
      <c r="S172" s="35"/>
      <c r="T172" s="35"/>
      <c r="U172" s="35"/>
      <c r="V172" s="35"/>
      <c r="W172" s="35"/>
      <c r="X172" s="35"/>
      <c r="Y172" s="35"/>
    </row>
    <row r="173" spans="1:25" x14ac:dyDescent="0.25">
      <c r="A173" s="3">
        <v>157</v>
      </c>
      <c r="B173" s="36"/>
      <c r="C173" s="32">
        <v>0.33750000000000002</v>
      </c>
      <c r="D173" s="32">
        <v>0.10750000000000001</v>
      </c>
      <c r="E173" s="32">
        <v>0.23</v>
      </c>
      <c r="F173" s="33">
        <v>30</v>
      </c>
      <c r="G173" s="34">
        <v>59.1</v>
      </c>
      <c r="H173" s="34">
        <v>25.3</v>
      </c>
      <c r="I173" s="34">
        <v>58.2</v>
      </c>
      <c r="J173" s="34">
        <v>57.5</v>
      </c>
      <c r="K173" s="34">
        <v>54.05</v>
      </c>
      <c r="L173" s="34">
        <v>57.9</v>
      </c>
      <c r="M173" s="34">
        <v>57.2</v>
      </c>
      <c r="N173" s="34">
        <v>57.05</v>
      </c>
      <c r="O173" s="34">
        <v>58.2</v>
      </c>
      <c r="P173" s="34">
        <v>57.9</v>
      </c>
      <c r="Q173" s="34">
        <v>56.25</v>
      </c>
      <c r="R173" s="35"/>
      <c r="S173" s="35"/>
      <c r="T173" s="35"/>
      <c r="U173" s="35"/>
      <c r="V173" s="35"/>
      <c r="W173" s="35"/>
      <c r="X173" s="35"/>
      <c r="Y173" s="35"/>
    </row>
    <row r="174" spans="1:25" x14ac:dyDescent="0.25">
      <c r="A174" s="3">
        <v>158</v>
      </c>
      <c r="B174" s="36"/>
      <c r="C174" s="32">
        <v>0.33750000000000002</v>
      </c>
      <c r="D174" s="32">
        <v>0.10750000000000001</v>
      </c>
      <c r="E174" s="32">
        <v>0.23</v>
      </c>
      <c r="F174" s="33">
        <v>30</v>
      </c>
      <c r="G174" s="34">
        <v>59.1</v>
      </c>
      <c r="H174" s="34">
        <v>25.3</v>
      </c>
      <c r="I174" s="34">
        <v>58.2</v>
      </c>
      <c r="J174" s="34">
        <v>57.5</v>
      </c>
      <c r="K174" s="34">
        <v>54.05</v>
      </c>
      <c r="L174" s="34">
        <v>58.1</v>
      </c>
      <c r="M174" s="34">
        <v>57.3</v>
      </c>
      <c r="N174" s="34">
        <v>57.150000000000006</v>
      </c>
      <c r="O174" s="34">
        <v>58.2</v>
      </c>
      <c r="P174" s="34">
        <v>57.9</v>
      </c>
      <c r="Q174" s="34">
        <v>56.25</v>
      </c>
      <c r="R174" s="35"/>
      <c r="S174" s="35"/>
      <c r="T174" s="35"/>
      <c r="U174" s="35"/>
      <c r="V174" s="35"/>
      <c r="W174" s="35"/>
      <c r="X174" s="35"/>
      <c r="Y174" s="35"/>
    </row>
    <row r="175" spans="1:25" x14ac:dyDescent="0.25">
      <c r="A175" s="3">
        <v>159</v>
      </c>
      <c r="B175" s="36"/>
      <c r="C175" s="32">
        <v>0.33750000000000002</v>
      </c>
      <c r="D175" s="32">
        <v>0.10750000000000001</v>
      </c>
      <c r="E175" s="32">
        <v>0.23</v>
      </c>
      <c r="F175" s="33">
        <v>30</v>
      </c>
      <c r="G175" s="34">
        <v>59.25</v>
      </c>
      <c r="H175" s="34">
        <v>25.3</v>
      </c>
      <c r="I175" s="34">
        <v>58.2</v>
      </c>
      <c r="J175" s="34">
        <v>57.5</v>
      </c>
      <c r="K175" s="34">
        <v>54.25</v>
      </c>
      <c r="L175" s="34">
        <v>58.1</v>
      </c>
      <c r="M175" s="34">
        <v>57.3</v>
      </c>
      <c r="N175" s="34">
        <v>57.25</v>
      </c>
      <c r="O175" s="34">
        <v>58.2</v>
      </c>
      <c r="P175" s="34">
        <v>57.9</v>
      </c>
      <c r="Q175" s="34">
        <v>56.35</v>
      </c>
      <c r="R175" s="35"/>
      <c r="S175" s="35"/>
      <c r="T175" s="35"/>
      <c r="U175" s="35"/>
      <c r="V175" s="35"/>
      <c r="W175" s="35"/>
      <c r="X175" s="35"/>
      <c r="Y175" s="35"/>
    </row>
    <row r="176" spans="1:25" x14ac:dyDescent="0.25">
      <c r="A176" s="3">
        <v>160</v>
      </c>
      <c r="B176" s="36"/>
      <c r="C176" s="32">
        <v>0.33750000000000002</v>
      </c>
      <c r="D176" s="32">
        <v>0.10750000000000001</v>
      </c>
      <c r="E176" s="32">
        <v>0.23</v>
      </c>
      <c r="F176" s="33">
        <v>30</v>
      </c>
      <c r="G176" s="34">
        <v>59.25</v>
      </c>
      <c r="H176" s="34">
        <v>25.3</v>
      </c>
      <c r="I176" s="34">
        <v>58.2</v>
      </c>
      <c r="J176" s="34">
        <v>57.5</v>
      </c>
      <c r="K176" s="34">
        <v>54.15</v>
      </c>
      <c r="L176" s="34">
        <v>58.1</v>
      </c>
      <c r="M176" s="34">
        <v>57.3</v>
      </c>
      <c r="N176" s="34">
        <v>57.25</v>
      </c>
      <c r="O176" s="34">
        <v>58.2</v>
      </c>
      <c r="P176" s="34">
        <v>57.9</v>
      </c>
      <c r="Q176" s="34">
        <v>56.45</v>
      </c>
      <c r="R176" s="35"/>
      <c r="S176" s="35"/>
      <c r="T176" s="35"/>
      <c r="U176" s="35"/>
      <c r="V176" s="35"/>
      <c r="W176" s="35"/>
      <c r="X176" s="35"/>
      <c r="Y176" s="35"/>
    </row>
    <row r="177" spans="1:25" x14ac:dyDescent="0.25">
      <c r="A177" s="36"/>
      <c r="B177" s="36"/>
      <c r="C177" s="39"/>
      <c r="D177" s="39"/>
      <c r="E177" s="39"/>
      <c r="F177" s="37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5"/>
      <c r="S177" s="35"/>
      <c r="T177" s="35"/>
      <c r="U177" s="35"/>
      <c r="V177" s="35"/>
      <c r="W177" s="35"/>
      <c r="X177" s="35"/>
      <c r="Y177" s="35"/>
    </row>
    <row r="178" spans="1:25" x14ac:dyDescent="0.25">
      <c r="A178" s="3">
        <v>161</v>
      </c>
      <c r="B178" s="3" t="s">
        <v>63</v>
      </c>
      <c r="C178" s="32">
        <v>0.2525</v>
      </c>
      <c r="D178" s="32">
        <v>0.11750000000000001</v>
      </c>
      <c r="E178" s="32">
        <v>0.13500000000000001</v>
      </c>
      <c r="F178" s="33">
        <v>25</v>
      </c>
      <c r="G178" s="34">
        <v>60.3</v>
      </c>
      <c r="H178" s="34">
        <v>25.6</v>
      </c>
      <c r="I178" s="34">
        <v>59.2</v>
      </c>
      <c r="J178" s="34">
        <v>58.4</v>
      </c>
      <c r="K178" s="34">
        <v>55.15</v>
      </c>
      <c r="L178" s="34">
        <v>58.8</v>
      </c>
      <c r="M178" s="34">
        <v>58.2</v>
      </c>
      <c r="N178" s="34">
        <v>58.150000000000006</v>
      </c>
      <c r="O178" s="34">
        <v>59.2</v>
      </c>
      <c r="P178" s="34">
        <v>58.6</v>
      </c>
      <c r="Q178" s="34">
        <v>57.25</v>
      </c>
      <c r="R178" s="35"/>
      <c r="S178" s="35"/>
      <c r="T178" s="35"/>
      <c r="U178" s="35"/>
      <c r="V178" s="35"/>
      <c r="W178" s="35"/>
      <c r="X178" s="35"/>
      <c r="Y178" s="35"/>
    </row>
    <row r="179" spans="1:25" x14ac:dyDescent="0.25">
      <c r="A179" s="3">
        <v>162</v>
      </c>
      <c r="B179" s="36"/>
      <c r="C179" s="32">
        <v>0.2525</v>
      </c>
      <c r="D179" s="32">
        <v>0.11750000000000001</v>
      </c>
      <c r="E179" s="32">
        <v>0.13500000000000001</v>
      </c>
      <c r="F179" s="33">
        <v>25</v>
      </c>
      <c r="G179" s="34">
        <v>60.4</v>
      </c>
      <c r="H179" s="34">
        <v>25.700000000000003</v>
      </c>
      <c r="I179" s="34">
        <v>59.3</v>
      </c>
      <c r="J179" s="34">
        <v>58.5</v>
      </c>
      <c r="K179" s="34">
        <v>55.25</v>
      </c>
      <c r="L179" s="34">
        <v>58.9</v>
      </c>
      <c r="M179" s="34">
        <v>58.3</v>
      </c>
      <c r="N179" s="34">
        <v>58.25</v>
      </c>
      <c r="O179" s="34">
        <v>59.3</v>
      </c>
      <c r="P179" s="34">
        <v>58.7</v>
      </c>
      <c r="Q179" s="34">
        <v>57.25</v>
      </c>
      <c r="R179" s="35"/>
      <c r="S179" s="35"/>
      <c r="T179" s="35"/>
      <c r="U179" s="35"/>
      <c r="V179" s="35"/>
      <c r="W179" s="35"/>
      <c r="X179" s="35"/>
      <c r="Y179" s="35"/>
    </row>
    <row r="180" spans="1:25" x14ac:dyDescent="0.25">
      <c r="A180" s="3">
        <v>163</v>
      </c>
      <c r="B180" s="36"/>
      <c r="C180" s="32">
        <v>0.2525</v>
      </c>
      <c r="D180" s="32">
        <v>0.11750000000000001</v>
      </c>
      <c r="E180" s="32">
        <v>0.13500000000000001</v>
      </c>
      <c r="F180" s="33">
        <v>25</v>
      </c>
      <c r="G180" s="34">
        <v>60.4</v>
      </c>
      <c r="H180" s="34">
        <v>25.700000000000003</v>
      </c>
      <c r="I180" s="34">
        <v>59.3</v>
      </c>
      <c r="J180" s="34">
        <v>58.5</v>
      </c>
      <c r="K180" s="34">
        <v>55.15</v>
      </c>
      <c r="L180" s="34">
        <v>58.9</v>
      </c>
      <c r="M180" s="34">
        <v>58.3</v>
      </c>
      <c r="N180" s="34">
        <v>58.25</v>
      </c>
      <c r="O180" s="34">
        <v>59.3</v>
      </c>
      <c r="P180" s="34">
        <v>58.7</v>
      </c>
      <c r="Q180" s="34">
        <v>57.35</v>
      </c>
      <c r="R180" s="35"/>
      <c r="S180" s="35"/>
      <c r="T180" s="35"/>
      <c r="U180" s="35"/>
      <c r="V180" s="35"/>
      <c r="W180" s="35"/>
      <c r="X180" s="35"/>
      <c r="Y180" s="35"/>
    </row>
    <row r="181" spans="1:25" x14ac:dyDescent="0.25">
      <c r="A181" s="3">
        <v>164</v>
      </c>
      <c r="B181" s="36"/>
      <c r="C181" s="32">
        <v>0.2525</v>
      </c>
      <c r="D181" s="32">
        <v>0.11750000000000001</v>
      </c>
      <c r="E181" s="32">
        <v>0.13500000000000001</v>
      </c>
      <c r="F181" s="33">
        <v>25</v>
      </c>
      <c r="G181" s="34">
        <v>60.4</v>
      </c>
      <c r="H181" s="34">
        <v>25.700000000000003</v>
      </c>
      <c r="I181" s="34">
        <v>59.3</v>
      </c>
      <c r="J181" s="34">
        <v>58.5</v>
      </c>
      <c r="K181" s="34">
        <v>55.3</v>
      </c>
      <c r="L181" s="34">
        <v>58.9</v>
      </c>
      <c r="M181" s="34">
        <v>58.3</v>
      </c>
      <c r="N181" s="34">
        <v>58.349999999999994</v>
      </c>
      <c r="O181" s="34">
        <v>59.3</v>
      </c>
      <c r="P181" s="34">
        <v>58.7</v>
      </c>
      <c r="Q181" s="34">
        <v>57.45</v>
      </c>
      <c r="R181" s="35"/>
      <c r="S181" s="35"/>
      <c r="T181" s="35"/>
      <c r="U181" s="35"/>
      <c r="V181" s="35"/>
      <c r="W181" s="35"/>
      <c r="X181" s="35"/>
      <c r="Y181" s="35"/>
    </row>
    <row r="182" spans="1:25" x14ac:dyDescent="0.25">
      <c r="A182" s="3">
        <v>165</v>
      </c>
      <c r="B182" s="36"/>
      <c r="C182" s="32">
        <v>0.2525</v>
      </c>
      <c r="D182" s="32">
        <v>0.11750000000000001</v>
      </c>
      <c r="E182" s="32">
        <v>0.13500000000000001</v>
      </c>
      <c r="F182" s="33">
        <v>25</v>
      </c>
      <c r="G182" s="34">
        <v>60.45</v>
      </c>
      <c r="H182" s="34">
        <v>25.700000000000003</v>
      </c>
      <c r="I182" s="34">
        <v>59.3</v>
      </c>
      <c r="J182" s="34">
        <v>58.5</v>
      </c>
      <c r="K182" s="34">
        <v>55.25</v>
      </c>
      <c r="L182" s="34">
        <v>58.9</v>
      </c>
      <c r="M182" s="34">
        <v>58.3</v>
      </c>
      <c r="N182" s="34">
        <v>58.349999999999994</v>
      </c>
      <c r="O182" s="34">
        <v>59.3</v>
      </c>
      <c r="P182" s="34">
        <v>58.7</v>
      </c>
      <c r="Q182" s="34">
        <v>57.349999999999994</v>
      </c>
      <c r="R182" s="35"/>
      <c r="S182" s="35"/>
      <c r="T182" s="35"/>
      <c r="U182" s="35"/>
      <c r="V182" s="35"/>
      <c r="W182" s="35"/>
      <c r="X182" s="35"/>
      <c r="Y182" s="35"/>
    </row>
    <row r="183" spans="1:25" x14ac:dyDescent="0.25">
      <c r="A183" s="3">
        <v>166</v>
      </c>
      <c r="B183" s="36"/>
      <c r="C183" s="32">
        <v>0.2525</v>
      </c>
      <c r="D183" s="32">
        <v>0.11750000000000001</v>
      </c>
      <c r="E183" s="32">
        <v>0.13500000000000001</v>
      </c>
      <c r="F183" s="33">
        <v>25</v>
      </c>
      <c r="G183" s="34">
        <v>60.5</v>
      </c>
      <c r="H183" s="34">
        <v>25.700000000000003</v>
      </c>
      <c r="I183" s="34">
        <v>59.3</v>
      </c>
      <c r="J183" s="34">
        <v>58.5</v>
      </c>
      <c r="K183" s="34">
        <v>55.25</v>
      </c>
      <c r="L183" s="34">
        <v>58.9</v>
      </c>
      <c r="M183" s="34">
        <v>58.3</v>
      </c>
      <c r="N183" s="34">
        <v>58.349999999999994</v>
      </c>
      <c r="O183" s="34">
        <v>59.3</v>
      </c>
      <c r="P183" s="34">
        <v>58.7</v>
      </c>
      <c r="Q183" s="34">
        <v>57.45</v>
      </c>
      <c r="R183" s="35"/>
      <c r="S183" s="35"/>
      <c r="T183" s="35"/>
      <c r="U183" s="35"/>
      <c r="V183" s="35"/>
      <c r="W183" s="35"/>
      <c r="X183" s="35"/>
      <c r="Y183" s="35"/>
    </row>
    <row r="184" spans="1:25" x14ac:dyDescent="0.25">
      <c r="A184" s="3">
        <v>167</v>
      </c>
      <c r="B184" s="36"/>
      <c r="C184" s="32">
        <v>0.2525</v>
      </c>
      <c r="D184" s="32">
        <v>0.11750000000000001</v>
      </c>
      <c r="E184" s="32">
        <v>0.13500000000000001</v>
      </c>
      <c r="F184" s="33">
        <v>25</v>
      </c>
      <c r="G184" s="34">
        <v>60.5</v>
      </c>
      <c r="H184" s="34">
        <v>25.700000000000003</v>
      </c>
      <c r="I184" s="34">
        <v>59.3</v>
      </c>
      <c r="J184" s="34">
        <v>58.5</v>
      </c>
      <c r="K184" s="34">
        <v>55.25</v>
      </c>
      <c r="L184" s="34">
        <v>58.9</v>
      </c>
      <c r="M184" s="34">
        <v>58.3</v>
      </c>
      <c r="N184" s="34">
        <v>58.349999999999994</v>
      </c>
      <c r="O184" s="34">
        <v>59.3</v>
      </c>
      <c r="P184" s="34">
        <v>58.7</v>
      </c>
      <c r="Q184" s="34">
        <v>57.45</v>
      </c>
      <c r="R184" s="35"/>
      <c r="S184" s="35"/>
      <c r="T184" s="35"/>
      <c r="U184" s="35"/>
      <c r="V184" s="35"/>
      <c r="W184" s="35"/>
      <c r="X184" s="35"/>
      <c r="Y184" s="35"/>
    </row>
    <row r="185" spans="1:25" x14ac:dyDescent="0.25">
      <c r="A185" s="3">
        <v>168</v>
      </c>
      <c r="B185" s="36"/>
      <c r="C185" s="32">
        <v>0.2525</v>
      </c>
      <c r="D185" s="32">
        <v>0.11750000000000001</v>
      </c>
      <c r="E185" s="32">
        <v>0.13500000000000001</v>
      </c>
      <c r="F185" s="33">
        <v>25</v>
      </c>
      <c r="G185" s="34">
        <v>60.5</v>
      </c>
      <c r="H185" s="34">
        <v>25.8</v>
      </c>
      <c r="I185" s="34">
        <v>59.3</v>
      </c>
      <c r="J185" s="34">
        <v>58.5</v>
      </c>
      <c r="K185" s="34">
        <v>55.45</v>
      </c>
      <c r="L185" s="34">
        <v>59.1</v>
      </c>
      <c r="M185" s="34">
        <v>58.3</v>
      </c>
      <c r="N185" s="34">
        <v>58.45</v>
      </c>
      <c r="O185" s="34">
        <v>59.3</v>
      </c>
      <c r="P185" s="34">
        <v>58.7</v>
      </c>
      <c r="Q185" s="34">
        <v>57.6</v>
      </c>
      <c r="R185" s="35"/>
      <c r="S185" s="35"/>
      <c r="T185" s="35"/>
      <c r="U185" s="35"/>
      <c r="V185" s="35"/>
      <c r="W185" s="35"/>
      <c r="X185" s="35"/>
      <c r="Y185" s="35"/>
    </row>
    <row r="186" spans="1:25" x14ac:dyDescent="0.25">
      <c r="A186" s="3">
        <v>169</v>
      </c>
      <c r="B186" s="36"/>
      <c r="C186" s="32">
        <v>0.2525</v>
      </c>
      <c r="D186" s="32">
        <v>0.11750000000000001</v>
      </c>
      <c r="E186" s="32">
        <v>0.13500000000000001</v>
      </c>
      <c r="F186" s="33">
        <v>25</v>
      </c>
      <c r="G186" s="34">
        <v>60.6</v>
      </c>
      <c r="H186" s="34">
        <v>25.8</v>
      </c>
      <c r="I186" s="34">
        <v>59.3</v>
      </c>
      <c r="J186" s="34">
        <v>58.7</v>
      </c>
      <c r="K186" s="34">
        <v>55.45</v>
      </c>
      <c r="L186" s="34">
        <v>59.1</v>
      </c>
      <c r="M186" s="34">
        <v>58.3</v>
      </c>
      <c r="N186" s="34">
        <v>58.45</v>
      </c>
      <c r="O186" s="34">
        <v>59.3</v>
      </c>
      <c r="P186" s="34">
        <v>58.7</v>
      </c>
      <c r="Q186" s="34">
        <v>57.65</v>
      </c>
      <c r="R186" s="35"/>
      <c r="S186" s="35"/>
      <c r="T186" s="35"/>
      <c r="U186" s="35"/>
      <c r="V186" s="35"/>
      <c r="W186" s="35"/>
      <c r="X186" s="35"/>
      <c r="Y186" s="35"/>
    </row>
    <row r="187" spans="1:25" x14ac:dyDescent="0.25">
      <c r="A187" s="3">
        <v>170</v>
      </c>
      <c r="B187" s="36"/>
      <c r="C187" s="32">
        <v>0.2525</v>
      </c>
      <c r="D187" s="32">
        <v>0.11750000000000001</v>
      </c>
      <c r="E187" s="32">
        <v>0.13500000000000001</v>
      </c>
      <c r="F187" s="33">
        <v>25</v>
      </c>
      <c r="G187" s="34">
        <v>60.6</v>
      </c>
      <c r="H187" s="34">
        <v>25.8</v>
      </c>
      <c r="I187" s="34">
        <v>59.3</v>
      </c>
      <c r="J187" s="34">
        <v>58.7</v>
      </c>
      <c r="K187" s="34">
        <v>55.45</v>
      </c>
      <c r="L187" s="34">
        <v>59.1</v>
      </c>
      <c r="M187" s="34">
        <v>58.3</v>
      </c>
      <c r="N187" s="34">
        <v>58.45</v>
      </c>
      <c r="O187" s="34">
        <v>59.3</v>
      </c>
      <c r="P187" s="34">
        <v>58.9</v>
      </c>
      <c r="Q187" s="34">
        <v>57.65</v>
      </c>
      <c r="R187" s="35"/>
      <c r="S187" s="35"/>
      <c r="T187" s="35"/>
      <c r="U187" s="35"/>
      <c r="V187" s="35"/>
      <c r="W187" s="35"/>
      <c r="X187" s="35"/>
      <c r="Y187" s="35"/>
    </row>
    <row r="188" spans="1:25" x14ac:dyDescent="0.25">
      <c r="A188" s="36"/>
      <c r="B188" s="36"/>
      <c r="C188" s="39"/>
      <c r="D188" s="39"/>
      <c r="E188" s="39"/>
      <c r="F188" s="37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5"/>
      <c r="S188" s="35"/>
      <c r="T188" s="35"/>
      <c r="U188" s="35"/>
      <c r="V188" s="35"/>
      <c r="W188" s="35"/>
      <c r="X188" s="35"/>
      <c r="Y188" s="35"/>
    </row>
    <row r="189" spans="1:25" x14ac:dyDescent="0.25">
      <c r="A189" s="3">
        <v>171</v>
      </c>
      <c r="B189" s="3" t="s">
        <v>64</v>
      </c>
      <c r="C189" s="32">
        <v>0.2</v>
      </c>
      <c r="D189" s="32">
        <v>0.1</v>
      </c>
      <c r="E189" s="32">
        <v>0.1</v>
      </c>
      <c r="F189" s="33">
        <v>20</v>
      </c>
      <c r="G189" s="34">
        <v>61.349999999999994</v>
      </c>
      <c r="H189" s="34">
        <v>25.700000000000003</v>
      </c>
      <c r="I189" s="34">
        <v>60</v>
      </c>
      <c r="J189" s="34">
        <v>59.4</v>
      </c>
      <c r="K189" s="34">
        <v>55.95</v>
      </c>
      <c r="L189" s="34">
        <v>59.8</v>
      </c>
      <c r="M189" s="34">
        <v>59.1</v>
      </c>
      <c r="N189" s="34">
        <v>59.150000000000006</v>
      </c>
      <c r="O189" s="34">
        <v>60</v>
      </c>
      <c r="P189" s="34">
        <v>59.4</v>
      </c>
      <c r="Q189" s="34">
        <v>58.25</v>
      </c>
      <c r="R189" s="35"/>
      <c r="S189" s="35"/>
      <c r="T189" s="35"/>
      <c r="U189" s="35"/>
      <c r="V189" s="35"/>
      <c r="W189" s="35"/>
      <c r="X189" s="35"/>
      <c r="Y189" s="35"/>
    </row>
    <row r="190" spans="1:25" x14ac:dyDescent="0.25">
      <c r="A190" s="3">
        <v>172</v>
      </c>
      <c r="B190" s="36"/>
      <c r="C190" s="32">
        <v>0.2</v>
      </c>
      <c r="D190" s="32">
        <v>0.1</v>
      </c>
      <c r="E190" s="32">
        <v>0.1</v>
      </c>
      <c r="F190" s="33">
        <v>20</v>
      </c>
      <c r="G190" s="34">
        <v>61.349999999999994</v>
      </c>
      <c r="H190" s="34">
        <v>25.700000000000003</v>
      </c>
      <c r="I190" s="34">
        <v>60</v>
      </c>
      <c r="J190" s="34">
        <v>59.4</v>
      </c>
      <c r="K190" s="34">
        <v>55.8</v>
      </c>
      <c r="L190" s="34">
        <v>59.8</v>
      </c>
      <c r="M190" s="34">
        <v>59.3</v>
      </c>
      <c r="N190" s="34">
        <v>59.150000000000006</v>
      </c>
      <c r="O190" s="34">
        <v>60</v>
      </c>
      <c r="P190" s="34">
        <v>59.6</v>
      </c>
      <c r="Q190" s="34">
        <v>58.349999999999994</v>
      </c>
      <c r="R190" s="35"/>
      <c r="S190" s="35"/>
      <c r="T190" s="35"/>
      <c r="U190" s="35"/>
      <c r="V190" s="35"/>
      <c r="W190" s="35"/>
      <c r="X190" s="35"/>
      <c r="Y190" s="35"/>
    </row>
    <row r="191" spans="1:25" x14ac:dyDescent="0.25">
      <c r="A191" s="3">
        <v>173</v>
      </c>
      <c r="B191" s="36"/>
      <c r="C191" s="32">
        <v>0.2</v>
      </c>
      <c r="D191" s="32">
        <v>0.1</v>
      </c>
      <c r="E191" s="32">
        <v>0.1</v>
      </c>
      <c r="F191" s="33">
        <v>20</v>
      </c>
      <c r="G191" s="34">
        <v>61.349999999999994</v>
      </c>
      <c r="H191" s="34">
        <v>25.700000000000003</v>
      </c>
      <c r="I191" s="34">
        <v>60</v>
      </c>
      <c r="J191" s="34">
        <v>59.4</v>
      </c>
      <c r="K191" s="34">
        <v>55.849999999999994</v>
      </c>
      <c r="L191" s="34">
        <v>59.8</v>
      </c>
      <c r="M191" s="34">
        <v>59.3</v>
      </c>
      <c r="N191" s="34">
        <v>59.150000000000006</v>
      </c>
      <c r="O191" s="34">
        <v>60</v>
      </c>
      <c r="P191" s="34">
        <v>59.6</v>
      </c>
      <c r="Q191" s="34">
        <v>58.349999999999994</v>
      </c>
      <c r="R191" s="35"/>
      <c r="S191" s="35"/>
      <c r="T191" s="35"/>
      <c r="U191" s="35"/>
      <c r="V191" s="35"/>
      <c r="W191" s="35"/>
      <c r="X191" s="35"/>
      <c r="Y191" s="35"/>
    </row>
    <row r="192" spans="1:25" x14ac:dyDescent="0.25">
      <c r="A192" s="3">
        <v>174</v>
      </c>
      <c r="B192" s="36"/>
      <c r="C192" s="32">
        <v>0.2</v>
      </c>
      <c r="D192" s="32">
        <v>0.1</v>
      </c>
      <c r="E192" s="32">
        <v>0.1</v>
      </c>
      <c r="F192" s="33">
        <v>20</v>
      </c>
      <c r="G192" s="34">
        <v>61.349999999999994</v>
      </c>
      <c r="H192" s="34">
        <v>25.700000000000003</v>
      </c>
      <c r="I192" s="34">
        <v>60</v>
      </c>
      <c r="J192" s="34">
        <v>59.4</v>
      </c>
      <c r="K192" s="34">
        <v>56.15</v>
      </c>
      <c r="L192" s="34">
        <v>59.8</v>
      </c>
      <c r="M192" s="34">
        <v>59.3</v>
      </c>
      <c r="N192" s="34">
        <v>59.25</v>
      </c>
      <c r="O192" s="34">
        <v>60</v>
      </c>
      <c r="P192" s="34">
        <v>59.6</v>
      </c>
      <c r="Q192" s="34">
        <v>58.35</v>
      </c>
      <c r="R192" s="35"/>
      <c r="S192" s="35"/>
      <c r="T192" s="35"/>
      <c r="U192" s="35"/>
      <c r="V192" s="35"/>
      <c r="W192" s="35"/>
      <c r="X192" s="35"/>
      <c r="Y192" s="35"/>
    </row>
    <row r="193" spans="1:25" x14ac:dyDescent="0.25">
      <c r="A193" s="3">
        <v>175</v>
      </c>
      <c r="B193" s="36"/>
      <c r="C193" s="32">
        <v>0.2</v>
      </c>
      <c r="D193" s="32">
        <v>0.1</v>
      </c>
      <c r="E193" s="32">
        <v>0.1</v>
      </c>
      <c r="F193" s="33">
        <v>20</v>
      </c>
      <c r="G193" s="34">
        <v>61.3</v>
      </c>
      <c r="H193" s="34">
        <v>25.6</v>
      </c>
      <c r="I193" s="34">
        <v>59.9</v>
      </c>
      <c r="J193" s="34">
        <v>59.3</v>
      </c>
      <c r="K193" s="34">
        <v>55.85</v>
      </c>
      <c r="L193" s="34">
        <v>59.7</v>
      </c>
      <c r="M193" s="34">
        <v>59.2</v>
      </c>
      <c r="N193" s="34">
        <v>59.150000000000006</v>
      </c>
      <c r="O193" s="34">
        <v>59.9</v>
      </c>
      <c r="P193" s="34">
        <v>59.5</v>
      </c>
      <c r="Q193" s="34">
        <v>58.05</v>
      </c>
      <c r="R193" s="35"/>
      <c r="S193" s="35"/>
      <c r="T193" s="35"/>
      <c r="U193" s="35"/>
      <c r="V193" s="35"/>
      <c r="W193" s="35"/>
      <c r="X193" s="35"/>
      <c r="Y193" s="35"/>
    </row>
    <row r="194" spans="1:25" x14ac:dyDescent="0.25">
      <c r="A194" s="3">
        <v>176</v>
      </c>
      <c r="B194" s="36"/>
      <c r="C194" s="32">
        <v>0.2</v>
      </c>
      <c r="D194" s="32">
        <v>0.1</v>
      </c>
      <c r="E194" s="32">
        <v>0.1</v>
      </c>
      <c r="F194" s="33">
        <v>20</v>
      </c>
      <c r="G194" s="34">
        <v>61.349999999999994</v>
      </c>
      <c r="H194" s="34">
        <v>25.700000000000003</v>
      </c>
      <c r="I194" s="34">
        <v>60</v>
      </c>
      <c r="J194" s="34">
        <v>59.6</v>
      </c>
      <c r="K194" s="34">
        <v>55.95</v>
      </c>
      <c r="L194" s="34">
        <v>59.8</v>
      </c>
      <c r="M194" s="34">
        <v>59.3</v>
      </c>
      <c r="N194" s="34">
        <v>59.25</v>
      </c>
      <c r="O194" s="34">
        <v>60.2</v>
      </c>
      <c r="P194" s="34">
        <v>59.6</v>
      </c>
      <c r="Q194" s="34">
        <v>58.25</v>
      </c>
      <c r="R194" s="35"/>
      <c r="S194" s="35"/>
      <c r="T194" s="35"/>
      <c r="U194" s="35"/>
      <c r="V194" s="35"/>
      <c r="W194" s="35"/>
      <c r="X194" s="35"/>
      <c r="Y194" s="35"/>
    </row>
    <row r="195" spans="1:25" x14ac:dyDescent="0.25">
      <c r="A195" s="3">
        <v>177</v>
      </c>
      <c r="B195" s="36"/>
      <c r="C195" s="32">
        <v>0.2</v>
      </c>
      <c r="D195" s="32">
        <v>0.1</v>
      </c>
      <c r="E195" s="32">
        <v>0.1</v>
      </c>
      <c r="F195" s="33">
        <v>20</v>
      </c>
      <c r="G195" s="34">
        <v>61.4</v>
      </c>
      <c r="H195" s="34">
        <v>25.700000000000003</v>
      </c>
      <c r="I195" s="34">
        <v>60</v>
      </c>
      <c r="J195" s="34">
        <v>59.6</v>
      </c>
      <c r="K195" s="34">
        <v>56.15</v>
      </c>
      <c r="L195" s="34">
        <v>59.8</v>
      </c>
      <c r="M195" s="34">
        <v>59.3</v>
      </c>
      <c r="N195" s="34">
        <v>59.25</v>
      </c>
      <c r="O195" s="34">
        <v>60.2</v>
      </c>
      <c r="P195" s="34">
        <v>59.6</v>
      </c>
      <c r="Q195" s="34">
        <v>58.45</v>
      </c>
      <c r="R195" s="35"/>
      <c r="S195" s="35"/>
      <c r="T195" s="35"/>
      <c r="U195" s="35"/>
      <c r="V195" s="35"/>
      <c r="W195" s="35"/>
      <c r="X195" s="35"/>
      <c r="Y195" s="35"/>
    </row>
    <row r="196" spans="1:25" x14ac:dyDescent="0.25">
      <c r="A196" s="3">
        <v>178</v>
      </c>
      <c r="B196" s="36"/>
      <c r="C196" s="32">
        <v>0.2</v>
      </c>
      <c r="D196" s="32">
        <v>0.1</v>
      </c>
      <c r="E196" s="32">
        <v>0.1</v>
      </c>
      <c r="F196" s="33">
        <v>20</v>
      </c>
      <c r="G196" s="34">
        <v>61.45</v>
      </c>
      <c r="H196" s="34">
        <v>25.6</v>
      </c>
      <c r="I196" s="34">
        <v>60.1</v>
      </c>
      <c r="J196" s="34">
        <v>59.5</v>
      </c>
      <c r="K196" s="34">
        <v>56.05</v>
      </c>
      <c r="L196" s="34">
        <v>59.9</v>
      </c>
      <c r="M196" s="34">
        <v>59.2</v>
      </c>
      <c r="N196" s="34">
        <v>59.150000000000006</v>
      </c>
      <c r="O196" s="34">
        <v>60.1</v>
      </c>
      <c r="P196" s="34">
        <v>59.5</v>
      </c>
      <c r="Q196" s="34">
        <v>58.349999999999994</v>
      </c>
      <c r="R196" s="35"/>
      <c r="S196" s="35"/>
      <c r="T196" s="35"/>
      <c r="U196" s="35"/>
      <c r="V196" s="35"/>
      <c r="W196" s="35"/>
      <c r="X196" s="35"/>
      <c r="Y196" s="35"/>
    </row>
    <row r="197" spans="1:25" x14ac:dyDescent="0.25">
      <c r="A197" s="3">
        <v>179</v>
      </c>
      <c r="B197" s="36"/>
      <c r="C197" s="32">
        <v>0.2</v>
      </c>
      <c r="D197" s="32">
        <v>0.1</v>
      </c>
      <c r="E197" s="32">
        <v>0.1</v>
      </c>
      <c r="F197" s="33">
        <v>20</v>
      </c>
      <c r="G197" s="34">
        <v>61.4</v>
      </c>
      <c r="H197" s="34">
        <v>25.6</v>
      </c>
      <c r="I197" s="34">
        <v>60.1</v>
      </c>
      <c r="J197" s="34">
        <v>59.5</v>
      </c>
      <c r="K197" s="34">
        <v>56.05</v>
      </c>
      <c r="L197" s="34">
        <v>59.9</v>
      </c>
      <c r="M197" s="34">
        <v>59.2</v>
      </c>
      <c r="N197" s="34">
        <v>59.150000000000006</v>
      </c>
      <c r="O197" s="34">
        <v>60.1</v>
      </c>
      <c r="P197" s="34">
        <v>59.7</v>
      </c>
      <c r="Q197" s="34">
        <v>58.25</v>
      </c>
      <c r="R197" s="35"/>
      <c r="S197" s="35"/>
      <c r="T197" s="35"/>
      <c r="U197" s="35"/>
      <c r="V197" s="35"/>
      <c r="W197" s="35"/>
      <c r="X197" s="35"/>
      <c r="Y197" s="35"/>
    </row>
    <row r="198" spans="1:25" x14ac:dyDescent="0.25">
      <c r="A198" s="3">
        <v>180</v>
      </c>
      <c r="B198" s="36"/>
      <c r="C198" s="32">
        <v>0.2</v>
      </c>
      <c r="D198" s="32">
        <v>0.1</v>
      </c>
      <c r="E198" s="32">
        <v>0.1</v>
      </c>
      <c r="F198" s="33">
        <v>20</v>
      </c>
      <c r="G198" s="34">
        <v>61.45</v>
      </c>
      <c r="H198" s="34">
        <v>25.6</v>
      </c>
      <c r="I198" s="34">
        <v>60.1</v>
      </c>
      <c r="J198" s="34">
        <v>59.5</v>
      </c>
      <c r="K198" s="34">
        <v>56.099999999999994</v>
      </c>
      <c r="L198" s="34">
        <v>59.9</v>
      </c>
      <c r="M198" s="34">
        <v>59.3</v>
      </c>
      <c r="N198" s="34">
        <v>59.25</v>
      </c>
      <c r="O198" s="34">
        <v>60.1</v>
      </c>
      <c r="P198" s="34">
        <v>59.7</v>
      </c>
      <c r="Q198" s="34">
        <v>58.349999999999994</v>
      </c>
      <c r="R198" s="35"/>
      <c r="S198" s="35"/>
      <c r="T198" s="35"/>
      <c r="U198" s="35"/>
      <c r="V198" s="35"/>
      <c r="W198" s="35"/>
      <c r="X198" s="35"/>
      <c r="Y198" s="35"/>
    </row>
    <row r="199" spans="1:25" x14ac:dyDescent="0.25">
      <c r="A199" s="36"/>
      <c r="B199" s="36"/>
      <c r="C199" s="39"/>
      <c r="D199" s="39"/>
      <c r="E199" s="39"/>
      <c r="F199" s="37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5"/>
      <c r="S199" s="35"/>
      <c r="T199" s="35"/>
      <c r="U199" s="35"/>
      <c r="V199" s="35"/>
      <c r="W199" s="35"/>
      <c r="X199" s="35"/>
      <c r="Y199" s="35"/>
    </row>
    <row r="200" spans="1:25" x14ac:dyDescent="0.25">
      <c r="A200" s="3">
        <v>181</v>
      </c>
      <c r="B200" s="3" t="s">
        <v>65</v>
      </c>
      <c r="C200" s="32">
        <v>0.15</v>
      </c>
      <c r="D200" s="32">
        <v>9.7500000000000003E-2</v>
      </c>
      <c r="E200" s="32">
        <v>5.2499999999999991E-2</v>
      </c>
      <c r="F200" s="33">
        <v>15</v>
      </c>
      <c r="G200" s="34">
        <v>61.5</v>
      </c>
      <c r="H200" s="34">
        <v>25.85</v>
      </c>
      <c r="I200" s="34">
        <v>60.3</v>
      </c>
      <c r="J200" s="34">
        <v>59.9</v>
      </c>
      <c r="K200" s="34">
        <v>56.4</v>
      </c>
      <c r="L200" s="34">
        <v>60.1</v>
      </c>
      <c r="M200" s="34">
        <v>59.7</v>
      </c>
      <c r="N200" s="34">
        <v>59.7</v>
      </c>
      <c r="O200" s="34">
        <v>60.3</v>
      </c>
      <c r="P200" s="34">
        <v>59.9</v>
      </c>
      <c r="Q200" s="34">
        <v>58.75</v>
      </c>
      <c r="R200" s="35"/>
      <c r="S200" s="35"/>
      <c r="T200" s="35"/>
      <c r="U200" s="35"/>
      <c r="V200" s="35"/>
      <c r="W200" s="35"/>
      <c r="X200" s="35"/>
      <c r="Y200" s="35"/>
    </row>
    <row r="201" spans="1:25" x14ac:dyDescent="0.25">
      <c r="A201" s="3">
        <v>182</v>
      </c>
      <c r="B201" s="36"/>
      <c r="C201" s="32">
        <v>0.15</v>
      </c>
      <c r="D201" s="32">
        <v>9.7500000000000003E-2</v>
      </c>
      <c r="E201" s="32">
        <v>5.2499999999999991E-2</v>
      </c>
      <c r="F201" s="33">
        <v>15</v>
      </c>
      <c r="G201" s="34">
        <v>61.55</v>
      </c>
      <c r="H201" s="34">
        <v>25.75</v>
      </c>
      <c r="I201" s="34">
        <v>60.3</v>
      </c>
      <c r="J201" s="34">
        <v>59.9</v>
      </c>
      <c r="K201" s="34">
        <v>56.4</v>
      </c>
      <c r="L201" s="34">
        <v>60.1</v>
      </c>
      <c r="M201" s="34">
        <v>59.7</v>
      </c>
      <c r="N201" s="34">
        <v>59.7</v>
      </c>
      <c r="O201" s="34">
        <v>60.3</v>
      </c>
      <c r="P201" s="34">
        <v>59.9</v>
      </c>
      <c r="Q201" s="34">
        <v>58.6</v>
      </c>
      <c r="R201" s="35"/>
      <c r="S201" s="35"/>
      <c r="T201" s="35"/>
      <c r="U201" s="35"/>
      <c r="V201" s="35"/>
      <c r="W201" s="35"/>
      <c r="X201" s="35"/>
      <c r="Y201" s="35"/>
    </row>
    <row r="202" spans="1:25" x14ac:dyDescent="0.25">
      <c r="A202" s="3">
        <v>183</v>
      </c>
      <c r="B202" s="36"/>
      <c r="C202" s="32">
        <v>0.15</v>
      </c>
      <c r="D202" s="32">
        <v>9.7500000000000003E-2</v>
      </c>
      <c r="E202" s="32">
        <v>5.2499999999999991E-2</v>
      </c>
      <c r="F202" s="33">
        <v>15</v>
      </c>
      <c r="G202" s="34">
        <v>61.6</v>
      </c>
      <c r="H202" s="34">
        <v>25.75</v>
      </c>
      <c r="I202" s="34">
        <v>60.3</v>
      </c>
      <c r="J202" s="34">
        <v>59.9</v>
      </c>
      <c r="K202" s="34">
        <v>56.3</v>
      </c>
      <c r="L202" s="34">
        <v>60.1</v>
      </c>
      <c r="M202" s="34">
        <v>59.7</v>
      </c>
      <c r="N202" s="34">
        <v>59.7</v>
      </c>
      <c r="O202" s="34">
        <v>60.3</v>
      </c>
      <c r="P202" s="34">
        <v>59.9</v>
      </c>
      <c r="Q202" s="34">
        <v>58.7</v>
      </c>
      <c r="R202" s="35"/>
      <c r="S202" s="35"/>
      <c r="T202" s="35"/>
      <c r="U202" s="35"/>
      <c r="V202" s="35"/>
      <c r="W202" s="35"/>
      <c r="X202" s="35"/>
      <c r="Y202" s="35"/>
    </row>
    <row r="203" spans="1:25" x14ac:dyDescent="0.25">
      <c r="A203" s="3">
        <v>184</v>
      </c>
      <c r="B203" s="36"/>
      <c r="C203" s="32">
        <v>0.15</v>
      </c>
      <c r="D203" s="32">
        <v>9.7500000000000003E-2</v>
      </c>
      <c r="E203" s="32">
        <v>5.2499999999999991E-2</v>
      </c>
      <c r="F203" s="33">
        <v>15</v>
      </c>
      <c r="G203" s="34">
        <v>61.7</v>
      </c>
      <c r="H203" s="34">
        <v>25.75</v>
      </c>
      <c r="I203" s="34">
        <v>60.3</v>
      </c>
      <c r="J203" s="34">
        <v>59.9</v>
      </c>
      <c r="K203" s="34">
        <v>56.4</v>
      </c>
      <c r="L203" s="34">
        <v>60.1</v>
      </c>
      <c r="M203" s="34">
        <v>59.7</v>
      </c>
      <c r="N203" s="34">
        <v>59.7</v>
      </c>
      <c r="O203" s="34">
        <v>60.3</v>
      </c>
      <c r="P203" s="34">
        <v>59.9</v>
      </c>
      <c r="Q203" s="34">
        <v>58.7</v>
      </c>
      <c r="R203" s="35"/>
      <c r="S203" s="35"/>
      <c r="T203" s="35"/>
      <c r="U203" s="35"/>
      <c r="V203" s="35"/>
      <c r="W203" s="35"/>
      <c r="X203" s="35"/>
      <c r="Y203" s="35"/>
    </row>
    <row r="204" spans="1:25" x14ac:dyDescent="0.25">
      <c r="A204" s="3">
        <v>185</v>
      </c>
      <c r="B204" s="36"/>
      <c r="C204" s="32">
        <v>0.15</v>
      </c>
      <c r="D204" s="32">
        <v>9.7500000000000003E-2</v>
      </c>
      <c r="E204" s="32">
        <v>5.2499999999999991E-2</v>
      </c>
      <c r="F204" s="33">
        <v>15</v>
      </c>
      <c r="G204" s="34">
        <v>61.7</v>
      </c>
      <c r="H204" s="34">
        <v>25.85</v>
      </c>
      <c r="I204" s="34">
        <v>60.3</v>
      </c>
      <c r="J204" s="34">
        <v>59.9</v>
      </c>
      <c r="K204" s="34">
        <v>56.5</v>
      </c>
      <c r="L204" s="34">
        <v>60.1</v>
      </c>
      <c r="M204" s="34">
        <v>59.7</v>
      </c>
      <c r="N204" s="34">
        <v>59.7</v>
      </c>
      <c r="O204" s="34">
        <v>60.3</v>
      </c>
      <c r="P204" s="34">
        <v>59.9</v>
      </c>
      <c r="Q204" s="34">
        <v>58.7</v>
      </c>
      <c r="R204" s="35"/>
      <c r="S204" s="35"/>
      <c r="T204" s="35"/>
      <c r="U204" s="35"/>
      <c r="V204" s="35"/>
      <c r="W204" s="35"/>
      <c r="X204" s="35"/>
      <c r="Y204" s="35"/>
    </row>
    <row r="205" spans="1:25" x14ac:dyDescent="0.25">
      <c r="A205" s="3">
        <v>186</v>
      </c>
      <c r="B205" s="36"/>
      <c r="C205" s="32">
        <v>0.15</v>
      </c>
      <c r="D205" s="32">
        <v>9.7500000000000003E-2</v>
      </c>
      <c r="E205" s="32">
        <v>5.2499999999999991E-2</v>
      </c>
      <c r="F205" s="33">
        <v>15</v>
      </c>
      <c r="G205" s="34">
        <v>61.7</v>
      </c>
      <c r="H205" s="34">
        <v>25.85</v>
      </c>
      <c r="I205" s="34">
        <v>60.3</v>
      </c>
      <c r="J205" s="34">
        <v>59.9</v>
      </c>
      <c r="K205" s="34">
        <v>56.4</v>
      </c>
      <c r="L205" s="34">
        <v>60.1</v>
      </c>
      <c r="M205" s="34">
        <v>59.7</v>
      </c>
      <c r="N205" s="34">
        <v>59.7</v>
      </c>
      <c r="O205" s="34">
        <v>60.4</v>
      </c>
      <c r="P205" s="34">
        <v>59.9</v>
      </c>
      <c r="Q205" s="34">
        <v>58.7</v>
      </c>
      <c r="R205" s="35"/>
      <c r="S205" s="35"/>
      <c r="T205" s="35"/>
      <c r="U205" s="35"/>
      <c r="V205" s="35"/>
      <c r="W205" s="35"/>
      <c r="X205" s="35"/>
      <c r="Y205" s="35"/>
    </row>
    <row r="206" spans="1:25" x14ac:dyDescent="0.25">
      <c r="A206" s="3">
        <v>187</v>
      </c>
      <c r="B206" s="36"/>
      <c r="C206" s="32">
        <v>0.15</v>
      </c>
      <c r="D206" s="32">
        <v>9.7500000000000003E-2</v>
      </c>
      <c r="E206" s="32">
        <v>5.2499999999999991E-2</v>
      </c>
      <c r="F206" s="33">
        <v>15</v>
      </c>
      <c r="G206" s="34">
        <v>61.5</v>
      </c>
      <c r="H206" s="34">
        <v>25.85</v>
      </c>
      <c r="I206" s="34">
        <v>60.3</v>
      </c>
      <c r="J206" s="34">
        <v>59.9</v>
      </c>
      <c r="K206" s="34">
        <v>56.3</v>
      </c>
      <c r="L206" s="34">
        <v>60.1</v>
      </c>
      <c r="M206" s="34">
        <v>59.7</v>
      </c>
      <c r="N206" s="34">
        <v>59.7</v>
      </c>
      <c r="O206" s="34">
        <v>60.4</v>
      </c>
      <c r="P206" s="34">
        <v>59.9</v>
      </c>
      <c r="Q206" s="34">
        <v>58.5</v>
      </c>
      <c r="R206" s="35"/>
      <c r="S206" s="35"/>
      <c r="T206" s="35"/>
      <c r="U206" s="35"/>
      <c r="V206" s="35"/>
      <c r="W206" s="35"/>
      <c r="X206" s="35"/>
      <c r="Y206" s="35"/>
    </row>
    <row r="207" spans="1:25" x14ac:dyDescent="0.25">
      <c r="A207" s="3">
        <v>188</v>
      </c>
      <c r="B207" s="36"/>
      <c r="C207" s="32">
        <v>0.15</v>
      </c>
      <c r="D207" s="32">
        <v>9.7500000000000003E-2</v>
      </c>
      <c r="E207" s="32">
        <v>5.2499999999999991E-2</v>
      </c>
      <c r="F207" s="33">
        <v>15</v>
      </c>
      <c r="G207" s="34">
        <v>61.55</v>
      </c>
      <c r="H207" s="34">
        <v>25.85</v>
      </c>
      <c r="I207" s="34">
        <v>60.3</v>
      </c>
      <c r="J207" s="34">
        <v>59.9</v>
      </c>
      <c r="K207" s="34">
        <v>56.45</v>
      </c>
      <c r="L207" s="34">
        <v>60.1</v>
      </c>
      <c r="M207" s="34">
        <v>59.7</v>
      </c>
      <c r="N207" s="34">
        <v>59.8</v>
      </c>
      <c r="O207" s="34">
        <v>60.4</v>
      </c>
      <c r="P207" s="34">
        <v>59.9</v>
      </c>
      <c r="Q207" s="34">
        <v>58.8</v>
      </c>
      <c r="R207" s="35"/>
      <c r="S207" s="35"/>
      <c r="T207" s="35"/>
      <c r="U207" s="35"/>
      <c r="V207" s="35"/>
      <c r="W207" s="35"/>
      <c r="X207" s="35"/>
      <c r="Y207" s="35"/>
    </row>
    <row r="208" spans="1:25" x14ac:dyDescent="0.25">
      <c r="A208" s="3">
        <v>189</v>
      </c>
      <c r="B208" s="36"/>
      <c r="C208" s="32">
        <v>0.15</v>
      </c>
      <c r="D208" s="32">
        <v>9.7500000000000003E-2</v>
      </c>
      <c r="E208" s="32">
        <v>5.2499999999999991E-2</v>
      </c>
      <c r="F208" s="33">
        <v>15</v>
      </c>
      <c r="G208" s="34">
        <v>61.6</v>
      </c>
      <c r="H208" s="34">
        <v>25.85</v>
      </c>
      <c r="I208" s="34">
        <v>60.3</v>
      </c>
      <c r="J208" s="34">
        <v>59.9</v>
      </c>
      <c r="K208" s="34">
        <v>56.3</v>
      </c>
      <c r="L208" s="34">
        <v>60.1</v>
      </c>
      <c r="M208" s="34">
        <v>59.7</v>
      </c>
      <c r="N208" s="34">
        <v>59.8</v>
      </c>
      <c r="O208" s="34">
        <v>60.4</v>
      </c>
      <c r="P208" s="34">
        <v>59.9</v>
      </c>
      <c r="Q208" s="34">
        <v>58.7</v>
      </c>
      <c r="R208" s="35"/>
      <c r="S208" s="35"/>
      <c r="T208" s="35"/>
      <c r="U208" s="35"/>
      <c r="V208" s="35"/>
      <c r="W208" s="35"/>
      <c r="X208" s="35"/>
      <c r="Y208" s="35"/>
    </row>
    <row r="209" spans="1:25" x14ac:dyDescent="0.25">
      <c r="A209" s="3">
        <v>190</v>
      </c>
      <c r="B209" s="36"/>
      <c r="C209" s="32">
        <v>0.15</v>
      </c>
      <c r="D209" s="32">
        <v>9.7500000000000003E-2</v>
      </c>
      <c r="E209" s="32">
        <v>5.2499999999999991E-2</v>
      </c>
      <c r="F209" s="33">
        <v>15</v>
      </c>
      <c r="G209" s="34">
        <v>61.6</v>
      </c>
      <c r="H209" s="34">
        <v>25.950000000000003</v>
      </c>
      <c r="I209" s="34">
        <v>60.3</v>
      </c>
      <c r="J209" s="34">
        <v>59.9</v>
      </c>
      <c r="K209" s="34">
        <v>56.5</v>
      </c>
      <c r="L209" s="34">
        <v>60.1</v>
      </c>
      <c r="M209" s="34">
        <v>59.7</v>
      </c>
      <c r="N209" s="34">
        <v>59.8</v>
      </c>
      <c r="O209" s="34">
        <v>60.4</v>
      </c>
      <c r="P209" s="34">
        <v>60.1</v>
      </c>
      <c r="Q209" s="34">
        <v>58.6</v>
      </c>
      <c r="R209" s="35"/>
      <c r="S209" s="35"/>
      <c r="T209" s="35"/>
      <c r="U209" s="35"/>
      <c r="V209" s="35"/>
      <c r="W209" s="35"/>
      <c r="X209" s="35"/>
      <c r="Y209" s="35"/>
    </row>
    <row r="210" spans="1:25" x14ac:dyDescent="0.25">
      <c r="A210" s="36"/>
      <c r="B210" s="36"/>
      <c r="C210" s="39"/>
      <c r="D210" s="39"/>
      <c r="E210" s="39"/>
      <c r="F210" s="37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5"/>
      <c r="S210" s="35"/>
      <c r="T210" s="35"/>
      <c r="U210" s="35"/>
      <c r="V210" s="35"/>
      <c r="W210" s="35"/>
      <c r="X210" s="35"/>
      <c r="Y210" s="35"/>
    </row>
    <row r="211" spans="1:25" x14ac:dyDescent="0.25">
      <c r="A211" s="3">
        <v>191</v>
      </c>
      <c r="B211" s="3" t="s">
        <v>66</v>
      </c>
      <c r="C211" s="32">
        <v>0.14750000000000002</v>
      </c>
      <c r="D211" s="32">
        <v>0.13500000000000001</v>
      </c>
      <c r="E211" s="32">
        <v>1.2500000000000011E-2</v>
      </c>
      <c r="F211" s="33">
        <v>10</v>
      </c>
      <c r="G211" s="34">
        <v>59.3</v>
      </c>
      <c r="H211" s="34">
        <v>26.55</v>
      </c>
      <c r="I211" s="34">
        <v>58.5</v>
      </c>
      <c r="J211" s="34">
        <v>58.2</v>
      </c>
      <c r="K211" s="34">
        <v>54.7</v>
      </c>
      <c r="L211" s="34">
        <v>58.4</v>
      </c>
      <c r="M211" s="34">
        <v>58</v>
      </c>
      <c r="N211" s="34">
        <v>57.65</v>
      </c>
      <c r="O211" s="34">
        <v>58.4</v>
      </c>
      <c r="P211" s="34">
        <v>58.2</v>
      </c>
      <c r="Q211" s="34">
        <v>56.4</v>
      </c>
      <c r="R211" s="35"/>
      <c r="S211" s="35"/>
      <c r="T211" s="35"/>
      <c r="U211" s="35"/>
      <c r="V211" s="35"/>
      <c r="W211" s="35"/>
      <c r="X211" s="35"/>
      <c r="Y211" s="35"/>
    </row>
    <row r="212" spans="1:25" x14ac:dyDescent="0.25">
      <c r="A212" s="3">
        <v>192</v>
      </c>
      <c r="B212" s="36"/>
      <c r="C212" s="32">
        <v>0.14750000000000002</v>
      </c>
      <c r="D212" s="32">
        <v>0.13500000000000001</v>
      </c>
      <c r="E212" s="32">
        <v>1.2500000000000011E-2</v>
      </c>
      <c r="F212" s="33">
        <v>10</v>
      </c>
      <c r="G212" s="34">
        <v>59.4</v>
      </c>
      <c r="H212" s="34">
        <v>26.5</v>
      </c>
      <c r="I212" s="34">
        <v>58.7</v>
      </c>
      <c r="J212" s="34">
        <v>58.4</v>
      </c>
      <c r="K212" s="34">
        <v>55.05</v>
      </c>
      <c r="L212" s="34">
        <v>58.4</v>
      </c>
      <c r="M212" s="34">
        <v>58.2</v>
      </c>
      <c r="N212" s="34">
        <v>58</v>
      </c>
      <c r="O212" s="34">
        <v>58.5</v>
      </c>
      <c r="P212" s="34">
        <v>58.4</v>
      </c>
      <c r="Q212" s="34">
        <v>56.7</v>
      </c>
      <c r="R212" s="35"/>
      <c r="S212" s="35"/>
      <c r="T212" s="35"/>
      <c r="U212" s="35"/>
      <c r="V212" s="35"/>
      <c r="W212" s="35"/>
      <c r="X212" s="35"/>
      <c r="Y212" s="35"/>
    </row>
    <row r="213" spans="1:25" x14ac:dyDescent="0.25">
      <c r="A213" s="3">
        <v>193</v>
      </c>
      <c r="B213" s="36"/>
      <c r="C213" s="32">
        <v>0.14750000000000002</v>
      </c>
      <c r="D213" s="32">
        <v>0.13500000000000001</v>
      </c>
      <c r="E213" s="32">
        <v>1.2500000000000011E-2</v>
      </c>
      <c r="F213" s="33">
        <v>10</v>
      </c>
      <c r="G213" s="34">
        <v>59.5</v>
      </c>
      <c r="H213" s="34">
        <v>26.5</v>
      </c>
      <c r="I213" s="34">
        <v>58.7</v>
      </c>
      <c r="J213" s="34">
        <v>58.4</v>
      </c>
      <c r="K213" s="34">
        <v>54.95</v>
      </c>
      <c r="L213" s="34">
        <v>58.5</v>
      </c>
      <c r="M213" s="34">
        <v>58.2</v>
      </c>
      <c r="N213" s="34">
        <v>58</v>
      </c>
      <c r="O213" s="34">
        <v>58.5</v>
      </c>
      <c r="P213" s="34">
        <v>58.5</v>
      </c>
      <c r="Q213" s="34">
        <v>56.6</v>
      </c>
      <c r="R213" s="35"/>
      <c r="S213" s="35"/>
      <c r="T213" s="35"/>
      <c r="U213" s="35"/>
      <c r="V213" s="35"/>
      <c r="W213" s="35"/>
      <c r="X213" s="35"/>
      <c r="Y213" s="35"/>
    </row>
    <row r="214" spans="1:25" x14ac:dyDescent="0.25">
      <c r="A214" s="3">
        <v>194</v>
      </c>
      <c r="B214" s="36"/>
      <c r="C214" s="32">
        <v>0.14750000000000002</v>
      </c>
      <c r="D214" s="32">
        <v>0.13500000000000001</v>
      </c>
      <c r="E214" s="32">
        <v>1.2500000000000011E-2</v>
      </c>
      <c r="F214" s="33">
        <v>10</v>
      </c>
      <c r="G214" s="34">
        <v>59.5</v>
      </c>
      <c r="H214" s="34">
        <v>26.450000000000003</v>
      </c>
      <c r="I214" s="34">
        <v>58.9</v>
      </c>
      <c r="J214" s="34">
        <v>58.4</v>
      </c>
      <c r="K214" s="34">
        <v>55.150000000000006</v>
      </c>
      <c r="L214" s="34">
        <v>58.5</v>
      </c>
      <c r="M214" s="34">
        <v>58.2</v>
      </c>
      <c r="N214" s="34">
        <v>58</v>
      </c>
      <c r="O214" s="34">
        <v>58.7</v>
      </c>
      <c r="P214" s="34">
        <v>58.5</v>
      </c>
      <c r="Q214" s="34">
        <v>56.7</v>
      </c>
      <c r="R214" s="35"/>
      <c r="S214" s="35"/>
      <c r="T214" s="35"/>
      <c r="U214" s="35"/>
      <c r="V214" s="35"/>
      <c r="W214" s="35"/>
      <c r="X214" s="35"/>
      <c r="Y214" s="35"/>
    </row>
    <row r="215" spans="1:25" x14ac:dyDescent="0.25">
      <c r="A215" s="3">
        <v>195</v>
      </c>
      <c r="B215" s="36"/>
      <c r="C215" s="32">
        <v>0.14750000000000002</v>
      </c>
      <c r="D215" s="32">
        <v>0.13500000000000001</v>
      </c>
      <c r="E215" s="32">
        <v>1.2500000000000011E-2</v>
      </c>
      <c r="F215" s="33">
        <v>10</v>
      </c>
      <c r="G215" s="34">
        <v>59.6</v>
      </c>
      <c r="H215" s="34">
        <v>26.450000000000003</v>
      </c>
      <c r="I215" s="34">
        <v>58.9</v>
      </c>
      <c r="J215" s="34">
        <v>58.5</v>
      </c>
      <c r="K215" s="34">
        <v>55.150000000000006</v>
      </c>
      <c r="L215" s="34">
        <v>58.7</v>
      </c>
      <c r="M215" s="34">
        <v>58.4</v>
      </c>
      <c r="N215" s="34">
        <v>58.15</v>
      </c>
      <c r="O215" s="34">
        <v>58.7</v>
      </c>
      <c r="P215" s="34">
        <v>58.7</v>
      </c>
      <c r="Q215" s="34">
        <v>56.6</v>
      </c>
      <c r="R215" s="35"/>
      <c r="S215" s="35"/>
      <c r="T215" s="35"/>
      <c r="U215" s="35"/>
      <c r="V215" s="35"/>
      <c r="W215" s="35"/>
      <c r="X215" s="35"/>
      <c r="Y215" s="35"/>
    </row>
    <row r="216" spans="1:25" x14ac:dyDescent="0.25">
      <c r="A216" s="3">
        <v>196</v>
      </c>
      <c r="B216" s="36"/>
      <c r="C216" s="32">
        <v>0.14750000000000002</v>
      </c>
      <c r="D216" s="32">
        <v>0.13500000000000001</v>
      </c>
      <c r="E216" s="32">
        <v>1.2500000000000011E-2</v>
      </c>
      <c r="F216" s="33">
        <v>10</v>
      </c>
      <c r="G216" s="34">
        <v>59.8</v>
      </c>
      <c r="H216" s="34">
        <v>26.5</v>
      </c>
      <c r="I216" s="34">
        <v>59.2</v>
      </c>
      <c r="J216" s="34">
        <v>58.8</v>
      </c>
      <c r="K216" s="34">
        <v>55.150000000000006</v>
      </c>
      <c r="L216" s="34">
        <v>58.8</v>
      </c>
      <c r="M216" s="34">
        <v>58.6</v>
      </c>
      <c r="N216" s="34">
        <v>58.15</v>
      </c>
      <c r="O216" s="34">
        <v>59</v>
      </c>
      <c r="P216" s="34">
        <v>58.8</v>
      </c>
      <c r="Q216" s="34">
        <v>56.7</v>
      </c>
      <c r="R216" s="35"/>
      <c r="S216" s="35"/>
      <c r="T216" s="35"/>
      <c r="U216" s="35"/>
      <c r="V216" s="35"/>
      <c r="W216" s="35"/>
      <c r="X216" s="35"/>
      <c r="Y216" s="35"/>
    </row>
    <row r="217" spans="1:25" x14ac:dyDescent="0.25">
      <c r="A217" s="3">
        <v>197</v>
      </c>
      <c r="B217" s="36"/>
      <c r="C217" s="32">
        <v>0.14750000000000002</v>
      </c>
      <c r="D217" s="32">
        <v>0.13500000000000001</v>
      </c>
      <c r="E217" s="32">
        <v>1.2500000000000011E-2</v>
      </c>
      <c r="F217" s="33">
        <v>10</v>
      </c>
      <c r="G217" s="34">
        <v>59.9</v>
      </c>
      <c r="H217" s="34">
        <v>26.5</v>
      </c>
      <c r="I217" s="34">
        <v>59.2</v>
      </c>
      <c r="J217" s="34">
        <v>58.8</v>
      </c>
      <c r="K217" s="34">
        <v>55.15</v>
      </c>
      <c r="L217" s="34">
        <v>58.8</v>
      </c>
      <c r="M217" s="34">
        <v>58.6</v>
      </c>
      <c r="N217" s="34">
        <v>58.25</v>
      </c>
      <c r="O217" s="34">
        <v>59</v>
      </c>
      <c r="P217" s="34">
        <v>58.8</v>
      </c>
      <c r="Q217" s="34">
        <v>57</v>
      </c>
      <c r="R217" s="35"/>
      <c r="S217" s="35"/>
      <c r="T217" s="35"/>
      <c r="U217" s="35"/>
      <c r="V217" s="35"/>
      <c r="W217" s="35"/>
      <c r="X217" s="35"/>
      <c r="Y217" s="35"/>
    </row>
    <row r="218" spans="1:25" x14ac:dyDescent="0.25">
      <c r="A218" s="3">
        <v>198</v>
      </c>
      <c r="B218" s="36"/>
      <c r="C218" s="32">
        <v>0.14750000000000002</v>
      </c>
      <c r="D218" s="32">
        <v>0.13500000000000001</v>
      </c>
      <c r="E218" s="32">
        <v>1.2500000000000011E-2</v>
      </c>
      <c r="F218" s="33">
        <v>10</v>
      </c>
      <c r="G218" s="34">
        <v>59.9</v>
      </c>
      <c r="H218" s="34">
        <v>26.5</v>
      </c>
      <c r="I218" s="34">
        <v>59.2</v>
      </c>
      <c r="J218" s="34">
        <v>58.8</v>
      </c>
      <c r="K218" s="34">
        <v>55.150000000000006</v>
      </c>
      <c r="L218" s="34">
        <v>59</v>
      </c>
      <c r="M218" s="34">
        <v>58.6</v>
      </c>
      <c r="N218" s="34">
        <v>58.35</v>
      </c>
      <c r="O218" s="34">
        <v>59</v>
      </c>
      <c r="P218" s="34">
        <v>59</v>
      </c>
      <c r="Q218" s="34">
        <v>57</v>
      </c>
      <c r="R218" s="35"/>
      <c r="S218" s="35"/>
      <c r="T218" s="35"/>
      <c r="U218" s="35"/>
      <c r="V218" s="35"/>
      <c r="W218" s="35"/>
      <c r="X218" s="35"/>
      <c r="Y218" s="35"/>
    </row>
    <row r="219" spans="1:25" x14ac:dyDescent="0.25">
      <c r="A219" s="3">
        <v>199</v>
      </c>
      <c r="B219" s="36"/>
      <c r="C219" s="32">
        <v>0.14750000000000002</v>
      </c>
      <c r="D219" s="32">
        <v>0.13500000000000001</v>
      </c>
      <c r="E219" s="32">
        <v>1.2500000000000011E-2</v>
      </c>
      <c r="F219" s="33">
        <v>10</v>
      </c>
      <c r="G219" s="34">
        <v>60</v>
      </c>
      <c r="H219" s="34">
        <v>26.4</v>
      </c>
      <c r="I219" s="34">
        <v>59.4</v>
      </c>
      <c r="J219" s="34">
        <v>59</v>
      </c>
      <c r="K219" s="34">
        <v>55.3</v>
      </c>
      <c r="L219" s="34">
        <v>59</v>
      </c>
      <c r="M219" s="34">
        <v>58.8</v>
      </c>
      <c r="N219" s="34">
        <v>58.45</v>
      </c>
      <c r="O219" s="34">
        <v>59.2</v>
      </c>
      <c r="P219" s="34">
        <v>59</v>
      </c>
      <c r="Q219" s="34">
        <v>57.2</v>
      </c>
      <c r="R219" s="35"/>
      <c r="S219" s="35"/>
      <c r="T219" s="35"/>
      <c r="U219" s="35"/>
      <c r="V219" s="35"/>
      <c r="W219" s="35"/>
      <c r="X219" s="35"/>
      <c r="Y219" s="35"/>
    </row>
    <row r="220" spans="1:25" x14ac:dyDescent="0.25">
      <c r="A220" s="3">
        <v>200</v>
      </c>
      <c r="B220" s="36"/>
      <c r="C220" s="32">
        <v>0.14750000000000002</v>
      </c>
      <c r="D220" s="32">
        <v>0.13500000000000001</v>
      </c>
      <c r="E220" s="32">
        <v>1.2500000000000011E-2</v>
      </c>
      <c r="F220" s="33">
        <v>10</v>
      </c>
      <c r="G220" s="34">
        <v>60.1</v>
      </c>
      <c r="H220" s="34">
        <v>26.35</v>
      </c>
      <c r="I220" s="34">
        <v>59.4</v>
      </c>
      <c r="J220" s="34">
        <v>59</v>
      </c>
      <c r="K220" s="34">
        <v>55.4</v>
      </c>
      <c r="L220" s="34">
        <v>59</v>
      </c>
      <c r="M220" s="34">
        <v>58.8</v>
      </c>
      <c r="N220" s="34">
        <v>58.45</v>
      </c>
      <c r="O220" s="34">
        <v>59.2</v>
      </c>
      <c r="P220" s="34">
        <v>59.2</v>
      </c>
      <c r="Q220" s="34">
        <v>57.1</v>
      </c>
      <c r="R220" s="35"/>
      <c r="S220" s="35"/>
      <c r="T220" s="35"/>
      <c r="U220" s="35"/>
      <c r="V220" s="35"/>
      <c r="W220" s="35"/>
      <c r="X220" s="35"/>
      <c r="Y220" s="35"/>
    </row>
    <row r="221" spans="1:25" x14ac:dyDescent="0.25">
      <c r="A221" s="36"/>
      <c r="B221" s="36"/>
      <c r="C221" s="39"/>
      <c r="D221" s="39"/>
      <c r="E221" s="39"/>
      <c r="F221" s="37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5"/>
      <c r="S221" s="35"/>
      <c r="T221" s="35"/>
      <c r="U221" s="35"/>
      <c r="V221" s="35"/>
      <c r="W221" s="35"/>
      <c r="X221" s="35"/>
      <c r="Y221" s="35"/>
    </row>
    <row r="222" spans="1:25" x14ac:dyDescent="0.25">
      <c r="A222" s="3">
        <v>201</v>
      </c>
      <c r="B222" s="3" t="s">
        <v>67</v>
      </c>
      <c r="C222" s="32">
        <v>0.10500000000000001</v>
      </c>
      <c r="D222" s="32">
        <v>0.10500000000000001</v>
      </c>
      <c r="E222" s="32">
        <v>0</v>
      </c>
      <c r="F222" s="33">
        <v>5</v>
      </c>
      <c r="G222" s="34">
        <v>61.3</v>
      </c>
      <c r="H222" s="34">
        <v>26.6</v>
      </c>
      <c r="I222" s="34">
        <v>60</v>
      </c>
      <c r="J222" s="34">
        <v>60</v>
      </c>
      <c r="K222" s="34">
        <v>55.9</v>
      </c>
      <c r="L222" s="34">
        <v>59.8</v>
      </c>
      <c r="M222" s="34">
        <v>59.6</v>
      </c>
      <c r="N222" s="34">
        <v>59.1</v>
      </c>
      <c r="O222" s="34">
        <v>60.2</v>
      </c>
      <c r="P222" s="34">
        <v>59.5</v>
      </c>
      <c r="Q222" s="34">
        <v>58.1</v>
      </c>
      <c r="R222" s="35"/>
      <c r="S222" s="35"/>
      <c r="T222" s="35"/>
      <c r="U222" s="35"/>
      <c r="V222" s="35"/>
      <c r="W222" s="35"/>
      <c r="X222" s="35"/>
      <c r="Y222" s="35"/>
    </row>
    <row r="223" spans="1:25" x14ac:dyDescent="0.25">
      <c r="A223" s="3">
        <v>202</v>
      </c>
      <c r="B223" s="36"/>
      <c r="C223" s="32">
        <v>0.10500000000000001</v>
      </c>
      <c r="D223" s="32">
        <v>0.10500000000000001</v>
      </c>
      <c r="E223" s="32">
        <v>0</v>
      </c>
      <c r="F223" s="33">
        <v>5</v>
      </c>
      <c r="G223" s="34">
        <v>61.349999999999994</v>
      </c>
      <c r="H223" s="34">
        <v>26.700000000000003</v>
      </c>
      <c r="I223" s="34">
        <v>60</v>
      </c>
      <c r="J223" s="34">
        <v>60</v>
      </c>
      <c r="K223" s="34">
        <v>55.599999999999994</v>
      </c>
      <c r="L223" s="34">
        <v>59.8</v>
      </c>
      <c r="M223" s="34">
        <v>59.6</v>
      </c>
      <c r="N223" s="34">
        <v>59.1</v>
      </c>
      <c r="O223" s="34">
        <v>60.2</v>
      </c>
      <c r="P223" s="34">
        <v>59.5</v>
      </c>
      <c r="Q223" s="34">
        <v>58</v>
      </c>
      <c r="R223" s="35"/>
      <c r="S223" s="35"/>
      <c r="T223" s="35"/>
      <c r="U223" s="35"/>
      <c r="V223" s="35"/>
      <c r="W223" s="35"/>
      <c r="X223" s="35"/>
      <c r="Y223" s="35"/>
    </row>
    <row r="224" spans="1:25" x14ac:dyDescent="0.25">
      <c r="A224" s="3">
        <v>203</v>
      </c>
      <c r="B224" s="36"/>
      <c r="C224" s="32">
        <v>0.10500000000000001</v>
      </c>
      <c r="D224" s="32">
        <v>0.10500000000000001</v>
      </c>
      <c r="E224" s="32">
        <v>0</v>
      </c>
      <c r="F224" s="33">
        <v>5</v>
      </c>
      <c r="G224" s="34">
        <v>61.349999999999994</v>
      </c>
      <c r="H224" s="34">
        <v>26.700000000000003</v>
      </c>
      <c r="I224" s="34">
        <v>60</v>
      </c>
      <c r="J224" s="34">
        <v>60</v>
      </c>
      <c r="K224" s="34">
        <v>55.599999999999994</v>
      </c>
      <c r="L224" s="34">
        <v>59.8</v>
      </c>
      <c r="M224" s="34">
        <v>59.6</v>
      </c>
      <c r="N224" s="34">
        <v>59.1</v>
      </c>
      <c r="O224" s="34">
        <v>60.2</v>
      </c>
      <c r="P224" s="34">
        <v>59.5</v>
      </c>
      <c r="Q224" s="34">
        <v>58</v>
      </c>
      <c r="R224" s="35"/>
      <c r="S224" s="35"/>
      <c r="T224" s="35"/>
      <c r="U224" s="35"/>
      <c r="V224" s="35"/>
      <c r="W224" s="35"/>
      <c r="X224" s="35"/>
      <c r="Y224" s="35"/>
    </row>
    <row r="225" spans="1:25" x14ac:dyDescent="0.25">
      <c r="A225" s="3">
        <v>204</v>
      </c>
      <c r="B225" s="36"/>
      <c r="C225" s="32">
        <v>0.10500000000000001</v>
      </c>
      <c r="D225" s="32">
        <v>0.10500000000000001</v>
      </c>
      <c r="E225" s="32">
        <v>0</v>
      </c>
      <c r="F225" s="33">
        <v>5</v>
      </c>
      <c r="G225" s="34">
        <v>61.150000000000006</v>
      </c>
      <c r="H225" s="34">
        <v>26.700000000000003</v>
      </c>
      <c r="I225" s="34">
        <v>60</v>
      </c>
      <c r="J225" s="34">
        <v>60</v>
      </c>
      <c r="K225" s="34">
        <v>55.400000000000006</v>
      </c>
      <c r="L225" s="34">
        <v>59.8</v>
      </c>
      <c r="M225" s="34">
        <v>59.6</v>
      </c>
      <c r="N225" s="34">
        <v>59.1</v>
      </c>
      <c r="O225" s="34">
        <v>60.2</v>
      </c>
      <c r="P225" s="34">
        <v>59.3</v>
      </c>
      <c r="Q225" s="34">
        <v>58</v>
      </c>
      <c r="R225" s="35"/>
      <c r="S225" s="35"/>
      <c r="T225" s="35"/>
      <c r="U225" s="35"/>
      <c r="V225" s="35"/>
      <c r="W225" s="35"/>
      <c r="X225" s="35"/>
      <c r="Y225" s="35"/>
    </row>
    <row r="226" spans="1:25" x14ac:dyDescent="0.25">
      <c r="A226" s="3">
        <v>205</v>
      </c>
      <c r="B226" s="36"/>
      <c r="C226" s="32">
        <v>0.10500000000000001</v>
      </c>
      <c r="D226" s="32">
        <v>0.10500000000000001</v>
      </c>
      <c r="E226" s="32">
        <v>0</v>
      </c>
      <c r="F226" s="33">
        <v>5</v>
      </c>
      <c r="G226" s="34">
        <v>61.3</v>
      </c>
      <c r="H226" s="34">
        <v>26.6</v>
      </c>
      <c r="I226" s="34">
        <v>59.9</v>
      </c>
      <c r="J226" s="34">
        <v>59.9</v>
      </c>
      <c r="K226" s="34">
        <v>55.5</v>
      </c>
      <c r="L226" s="34">
        <v>59.7</v>
      </c>
      <c r="M226" s="34">
        <v>59.5</v>
      </c>
      <c r="N226" s="34">
        <v>59.05</v>
      </c>
      <c r="O226" s="34">
        <v>60.1</v>
      </c>
      <c r="P226" s="34">
        <v>59.2</v>
      </c>
      <c r="Q226" s="34">
        <v>57.8</v>
      </c>
      <c r="R226" s="35"/>
      <c r="S226" s="35"/>
      <c r="T226" s="35"/>
      <c r="U226" s="35"/>
      <c r="V226" s="35"/>
      <c r="W226" s="35"/>
      <c r="X226" s="35"/>
      <c r="Y226" s="35"/>
    </row>
    <row r="227" spans="1:25" x14ac:dyDescent="0.25">
      <c r="A227" s="3">
        <v>206</v>
      </c>
      <c r="B227" s="36"/>
      <c r="C227" s="32">
        <v>0.10500000000000001</v>
      </c>
      <c r="D227" s="32">
        <v>0.10500000000000001</v>
      </c>
      <c r="E227" s="32">
        <v>0</v>
      </c>
      <c r="F227" s="33">
        <v>5</v>
      </c>
      <c r="G227" s="34">
        <v>60.8</v>
      </c>
      <c r="H227" s="34">
        <v>26.6</v>
      </c>
      <c r="I227" s="34">
        <v>59.9</v>
      </c>
      <c r="J227" s="34">
        <v>59.9</v>
      </c>
      <c r="K227" s="34">
        <v>55.5</v>
      </c>
      <c r="L227" s="34">
        <v>59.7</v>
      </c>
      <c r="M227" s="34">
        <v>59.5</v>
      </c>
      <c r="N227" s="34">
        <v>59.05</v>
      </c>
      <c r="O227" s="34">
        <v>60.1</v>
      </c>
      <c r="P227" s="34">
        <v>59.2</v>
      </c>
      <c r="Q227" s="34">
        <v>57.900000000000006</v>
      </c>
      <c r="R227" s="35"/>
      <c r="S227" s="35"/>
      <c r="T227" s="35"/>
      <c r="U227" s="35"/>
      <c r="V227" s="35"/>
      <c r="W227" s="35"/>
      <c r="X227" s="35"/>
      <c r="Y227" s="35"/>
    </row>
    <row r="228" spans="1:25" x14ac:dyDescent="0.25">
      <c r="A228" s="3">
        <v>207</v>
      </c>
      <c r="B228" s="36"/>
      <c r="C228" s="32">
        <v>0.10500000000000001</v>
      </c>
      <c r="D228" s="32">
        <v>0.10500000000000001</v>
      </c>
      <c r="E228" s="32">
        <v>0</v>
      </c>
      <c r="F228" s="33">
        <v>5</v>
      </c>
      <c r="G228" s="34">
        <v>60.9</v>
      </c>
      <c r="H228" s="34">
        <v>26.6</v>
      </c>
      <c r="I228" s="34">
        <v>59.9</v>
      </c>
      <c r="J228" s="34">
        <v>59.7</v>
      </c>
      <c r="K228" s="34">
        <v>55.3</v>
      </c>
      <c r="L228" s="34">
        <v>59.7</v>
      </c>
      <c r="M228" s="34">
        <v>59.5</v>
      </c>
      <c r="N228" s="34">
        <v>59.05</v>
      </c>
      <c r="O228" s="34">
        <v>60.1</v>
      </c>
      <c r="P228" s="34">
        <v>59.2</v>
      </c>
      <c r="Q228" s="34">
        <v>57.8</v>
      </c>
      <c r="R228" s="35"/>
      <c r="S228" s="35"/>
      <c r="T228" s="35"/>
      <c r="U228" s="35"/>
      <c r="V228" s="35"/>
      <c r="W228" s="35"/>
      <c r="X228" s="35"/>
      <c r="Y228" s="35"/>
    </row>
    <row r="229" spans="1:25" x14ac:dyDescent="0.25">
      <c r="A229" s="3">
        <v>208</v>
      </c>
      <c r="B229" s="36"/>
      <c r="C229" s="32">
        <v>0.10500000000000001</v>
      </c>
      <c r="D229" s="32">
        <v>0.10500000000000001</v>
      </c>
      <c r="E229" s="32">
        <v>0</v>
      </c>
      <c r="F229" s="33">
        <v>5</v>
      </c>
      <c r="G229" s="34">
        <v>60.9</v>
      </c>
      <c r="H229" s="34">
        <v>26.5</v>
      </c>
      <c r="I229" s="34">
        <v>59.8</v>
      </c>
      <c r="J229" s="34">
        <v>59.6</v>
      </c>
      <c r="K229" s="34">
        <v>55.3</v>
      </c>
      <c r="L229" s="34">
        <v>59.6</v>
      </c>
      <c r="M229" s="34">
        <v>59.5</v>
      </c>
      <c r="N229" s="34">
        <v>58.8</v>
      </c>
      <c r="O229" s="34">
        <v>60</v>
      </c>
      <c r="P229" s="34">
        <v>59.1</v>
      </c>
      <c r="Q229" s="34">
        <v>57.65</v>
      </c>
      <c r="R229" s="35"/>
      <c r="S229" s="35"/>
      <c r="T229" s="35"/>
      <c r="U229" s="35"/>
      <c r="V229" s="35"/>
      <c r="W229" s="35"/>
      <c r="X229" s="35"/>
      <c r="Y229" s="35"/>
    </row>
    <row r="230" spans="1:25" x14ac:dyDescent="0.25">
      <c r="A230" s="3">
        <v>209</v>
      </c>
      <c r="B230" s="36"/>
      <c r="C230" s="32">
        <v>0.10500000000000001</v>
      </c>
      <c r="D230" s="32">
        <v>0.10500000000000001</v>
      </c>
      <c r="E230" s="32">
        <v>0</v>
      </c>
      <c r="F230" s="33">
        <v>5</v>
      </c>
      <c r="G230" s="34">
        <v>61.1</v>
      </c>
      <c r="H230" s="34">
        <v>26.5</v>
      </c>
      <c r="I230" s="34">
        <v>59.9</v>
      </c>
      <c r="J230" s="34">
        <v>59.7</v>
      </c>
      <c r="K230" s="34">
        <v>55.5</v>
      </c>
      <c r="L230" s="34">
        <v>59.7</v>
      </c>
      <c r="M230" s="34">
        <v>59.5</v>
      </c>
      <c r="N230" s="34">
        <v>58.95</v>
      </c>
      <c r="O230" s="34">
        <v>60.1</v>
      </c>
      <c r="P230" s="34">
        <v>59.2</v>
      </c>
      <c r="Q230" s="34">
        <v>57.900000000000006</v>
      </c>
      <c r="R230" s="35"/>
      <c r="S230" s="35"/>
      <c r="T230" s="35"/>
      <c r="U230" s="35"/>
      <c r="V230" s="35"/>
      <c r="W230" s="35"/>
      <c r="X230" s="35"/>
      <c r="Y230" s="35"/>
    </row>
    <row r="231" spans="1:25" x14ac:dyDescent="0.25">
      <c r="A231" s="3">
        <v>210</v>
      </c>
      <c r="B231" s="36"/>
      <c r="C231" s="32">
        <v>0.10500000000000001</v>
      </c>
      <c r="D231" s="32">
        <v>0.10500000000000001</v>
      </c>
      <c r="E231" s="32">
        <v>0</v>
      </c>
      <c r="F231" s="33">
        <v>5</v>
      </c>
      <c r="G231" s="34">
        <v>61.15</v>
      </c>
      <c r="H231" s="34">
        <v>26.6</v>
      </c>
      <c r="I231" s="34">
        <v>59.9</v>
      </c>
      <c r="J231" s="34">
        <v>59.7</v>
      </c>
      <c r="K231" s="34">
        <v>55.6</v>
      </c>
      <c r="L231" s="34">
        <v>59.7</v>
      </c>
      <c r="M231" s="34">
        <v>59.5</v>
      </c>
      <c r="N231" s="34">
        <v>58.95</v>
      </c>
      <c r="O231" s="34">
        <v>60.1</v>
      </c>
      <c r="P231" s="34">
        <v>59.2</v>
      </c>
      <c r="Q231" s="34">
        <v>58</v>
      </c>
      <c r="R231" s="35"/>
      <c r="S231" s="35"/>
      <c r="T231" s="35"/>
      <c r="U231" s="35"/>
      <c r="V231" s="35"/>
      <c r="W231" s="35"/>
      <c r="X231" s="35"/>
      <c r="Y231" s="35"/>
    </row>
    <row r="232" spans="1:25" x14ac:dyDescent="0.25">
      <c r="A232" s="36"/>
      <c r="B232" s="36"/>
      <c r="C232" s="39"/>
      <c r="D232" s="39"/>
      <c r="E232" s="39"/>
      <c r="F232" s="37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5"/>
      <c r="S232" s="35"/>
      <c r="T232" s="35"/>
      <c r="U232" s="35"/>
      <c r="V232" s="35"/>
      <c r="W232" s="35"/>
      <c r="X232" s="35"/>
      <c r="Y232" s="35"/>
    </row>
    <row r="233" spans="1:25" x14ac:dyDescent="0.25">
      <c r="A233" s="3">
        <v>211</v>
      </c>
      <c r="B233" s="3" t="s">
        <v>68</v>
      </c>
      <c r="C233" s="32">
        <v>0.36249999999999999</v>
      </c>
      <c r="D233" s="32">
        <v>0.1125</v>
      </c>
      <c r="E233" s="32">
        <v>0.25</v>
      </c>
      <c r="F233" s="33">
        <v>25</v>
      </c>
      <c r="G233" s="34">
        <v>61.7</v>
      </c>
      <c r="H233" s="34">
        <v>26.9</v>
      </c>
      <c r="I233" s="34">
        <v>60.6</v>
      </c>
      <c r="J233" s="34">
        <v>60.1</v>
      </c>
      <c r="K233" s="34">
        <v>56.45</v>
      </c>
      <c r="L233" s="34">
        <v>60.6</v>
      </c>
      <c r="M233" s="34">
        <v>60.1</v>
      </c>
      <c r="N233" s="34">
        <v>60</v>
      </c>
      <c r="O233" s="38"/>
      <c r="P233" s="38"/>
      <c r="Q233" s="38"/>
      <c r="R233" s="35"/>
      <c r="S233" s="35"/>
      <c r="T233" s="35"/>
      <c r="U233" s="35"/>
      <c r="V233" s="35"/>
      <c r="W233" s="35"/>
      <c r="X233" s="35"/>
      <c r="Y233" s="35"/>
    </row>
    <row r="234" spans="1:25" x14ac:dyDescent="0.25">
      <c r="A234" s="3">
        <v>212</v>
      </c>
      <c r="B234" s="36"/>
      <c r="C234" s="32">
        <v>0.36249999999999999</v>
      </c>
      <c r="D234" s="32">
        <v>0.1125</v>
      </c>
      <c r="E234" s="32">
        <v>0.25</v>
      </c>
      <c r="F234" s="33">
        <v>25</v>
      </c>
      <c r="G234" s="34">
        <v>61.8</v>
      </c>
      <c r="H234" s="34">
        <v>26.9</v>
      </c>
      <c r="I234" s="34">
        <v>60.8</v>
      </c>
      <c r="J234" s="34">
        <v>60.1</v>
      </c>
      <c r="K234" s="34">
        <v>56.55</v>
      </c>
      <c r="L234" s="34">
        <v>60.6</v>
      </c>
      <c r="M234" s="34">
        <v>60.1</v>
      </c>
      <c r="N234" s="34">
        <v>60</v>
      </c>
      <c r="O234" s="38"/>
      <c r="P234" s="38"/>
      <c r="Q234" s="38"/>
      <c r="R234" s="35"/>
      <c r="S234" s="35"/>
      <c r="T234" s="35"/>
      <c r="U234" s="35"/>
      <c r="V234" s="35"/>
      <c r="W234" s="35"/>
      <c r="X234" s="35"/>
      <c r="Y234" s="35"/>
    </row>
    <row r="235" spans="1:25" x14ac:dyDescent="0.25">
      <c r="A235" s="3">
        <v>213</v>
      </c>
      <c r="B235" s="36"/>
      <c r="C235" s="32">
        <v>0.36249999999999999</v>
      </c>
      <c r="D235" s="32">
        <v>0.1125</v>
      </c>
      <c r="E235" s="32">
        <v>0.25</v>
      </c>
      <c r="F235" s="33">
        <v>25</v>
      </c>
      <c r="G235" s="34">
        <v>61.8</v>
      </c>
      <c r="H235" s="34">
        <v>26.8</v>
      </c>
      <c r="I235" s="34">
        <v>60.7</v>
      </c>
      <c r="J235" s="34">
        <v>60</v>
      </c>
      <c r="K235" s="34">
        <v>56.349999999999994</v>
      </c>
      <c r="L235" s="34">
        <v>60.6</v>
      </c>
      <c r="M235" s="34">
        <v>60</v>
      </c>
      <c r="N235" s="34">
        <v>59.849999999999994</v>
      </c>
      <c r="O235" s="38"/>
      <c r="P235" s="38"/>
      <c r="Q235" s="38"/>
      <c r="R235" s="35"/>
      <c r="S235" s="35"/>
      <c r="T235" s="35"/>
      <c r="U235" s="35"/>
      <c r="V235" s="35"/>
      <c r="W235" s="35"/>
      <c r="X235" s="35"/>
      <c r="Y235" s="35"/>
    </row>
    <row r="236" spans="1:25" x14ac:dyDescent="0.25">
      <c r="A236" s="3">
        <v>214</v>
      </c>
      <c r="B236" s="36"/>
      <c r="C236" s="32">
        <v>0.36249999999999999</v>
      </c>
      <c r="D236" s="32">
        <v>0.1125</v>
      </c>
      <c r="E236" s="32">
        <v>0.25</v>
      </c>
      <c r="F236" s="33">
        <v>25</v>
      </c>
      <c r="G236" s="34">
        <v>61.900000000000006</v>
      </c>
      <c r="H236" s="34">
        <v>26.9</v>
      </c>
      <c r="I236" s="34">
        <v>60.8</v>
      </c>
      <c r="J236" s="34">
        <v>60.3</v>
      </c>
      <c r="K236" s="34">
        <v>56.55</v>
      </c>
      <c r="L236" s="34">
        <v>60.8</v>
      </c>
      <c r="M236" s="34">
        <v>60.1</v>
      </c>
      <c r="N236" s="34">
        <v>59.95</v>
      </c>
      <c r="O236" s="38"/>
      <c r="P236" s="38"/>
      <c r="Q236" s="38"/>
      <c r="R236" s="35"/>
      <c r="S236" s="35"/>
      <c r="T236" s="35"/>
      <c r="U236" s="35"/>
      <c r="V236" s="35"/>
      <c r="W236" s="35"/>
      <c r="X236" s="35"/>
      <c r="Y236" s="35"/>
    </row>
    <row r="237" spans="1:25" x14ac:dyDescent="0.25">
      <c r="A237" s="3">
        <v>215</v>
      </c>
      <c r="B237" s="36"/>
      <c r="C237" s="32">
        <v>0.36249999999999999</v>
      </c>
      <c r="D237" s="32">
        <v>0.1125</v>
      </c>
      <c r="E237" s="32">
        <v>0.25</v>
      </c>
      <c r="F237" s="33">
        <v>25</v>
      </c>
      <c r="G237" s="34">
        <v>61.8</v>
      </c>
      <c r="H237" s="34">
        <v>26.9</v>
      </c>
      <c r="I237" s="34">
        <v>60.7</v>
      </c>
      <c r="J237" s="34">
        <v>60.2</v>
      </c>
      <c r="K237" s="34">
        <v>56.400000000000006</v>
      </c>
      <c r="L237" s="34">
        <v>60.7</v>
      </c>
      <c r="M237" s="34">
        <v>60</v>
      </c>
      <c r="N237" s="34">
        <v>59.95</v>
      </c>
      <c r="O237" s="38"/>
      <c r="P237" s="38"/>
      <c r="Q237" s="38"/>
      <c r="R237" s="35"/>
      <c r="S237" s="35"/>
      <c r="T237" s="35"/>
      <c r="U237" s="35"/>
      <c r="V237" s="35"/>
      <c r="W237" s="35"/>
      <c r="X237" s="35"/>
      <c r="Y237" s="35"/>
    </row>
    <row r="238" spans="1:25" x14ac:dyDescent="0.25">
      <c r="A238" s="3">
        <v>216</v>
      </c>
      <c r="B238" s="36"/>
      <c r="C238" s="32">
        <v>0.36249999999999999</v>
      </c>
      <c r="D238" s="32">
        <v>0.1125</v>
      </c>
      <c r="E238" s="32">
        <v>0.25</v>
      </c>
      <c r="F238" s="33">
        <v>25</v>
      </c>
      <c r="G238" s="34">
        <v>61.7</v>
      </c>
      <c r="H238" s="34">
        <v>26.8</v>
      </c>
      <c r="I238" s="34">
        <v>60.7</v>
      </c>
      <c r="J238" s="34">
        <v>60.2</v>
      </c>
      <c r="K238" s="34">
        <v>56.45</v>
      </c>
      <c r="L238" s="34">
        <v>60.6</v>
      </c>
      <c r="M238" s="34">
        <v>60</v>
      </c>
      <c r="N238" s="34">
        <v>59.95</v>
      </c>
      <c r="O238" s="38"/>
      <c r="P238" s="38"/>
      <c r="Q238" s="38"/>
      <c r="R238" s="35"/>
      <c r="S238" s="35"/>
      <c r="T238" s="35"/>
      <c r="U238" s="35"/>
      <c r="V238" s="35"/>
      <c r="W238" s="35"/>
      <c r="X238" s="35"/>
      <c r="Y238" s="35"/>
    </row>
    <row r="239" spans="1:25" x14ac:dyDescent="0.25">
      <c r="A239" s="3">
        <v>217</v>
      </c>
      <c r="B239" s="36"/>
      <c r="C239" s="32">
        <v>0.36249999999999999</v>
      </c>
      <c r="D239" s="32">
        <v>0.1125</v>
      </c>
      <c r="E239" s="32">
        <v>0.25</v>
      </c>
      <c r="F239" s="33">
        <v>25</v>
      </c>
      <c r="G239" s="34">
        <v>61.8</v>
      </c>
      <c r="H239" s="34">
        <v>26.9</v>
      </c>
      <c r="I239" s="34">
        <v>60.8</v>
      </c>
      <c r="J239" s="34">
        <v>60.3</v>
      </c>
      <c r="K239" s="34">
        <v>56.55</v>
      </c>
      <c r="L239" s="34">
        <v>60.6</v>
      </c>
      <c r="M239" s="34">
        <v>60.1</v>
      </c>
      <c r="N239" s="34">
        <v>60</v>
      </c>
      <c r="O239" s="38"/>
      <c r="P239" s="38"/>
      <c r="Q239" s="38"/>
      <c r="R239" s="35"/>
      <c r="S239" s="35"/>
      <c r="T239" s="35"/>
      <c r="U239" s="35"/>
      <c r="V239" s="35"/>
      <c r="W239" s="35"/>
      <c r="X239" s="35"/>
      <c r="Y239" s="35"/>
    </row>
    <row r="240" spans="1:25" x14ac:dyDescent="0.25">
      <c r="A240" s="3">
        <v>218</v>
      </c>
      <c r="B240" s="36"/>
      <c r="C240" s="32">
        <v>0.36249999999999999</v>
      </c>
      <c r="D240" s="32">
        <v>0.1125</v>
      </c>
      <c r="E240" s="32">
        <v>0.25</v>
      </c>
      <c r="F240" s="33">
        <v>25</v>
      </c>
      <c r="G240" s="34">
        <v>61.8</v>
      </c>
      <c r="H240" s="34">
        <v>26.8</v>
      </c>
      <c r="I240" s="34">
        <v>60.7</v>
      </c>
      <c r="J240" s="34">
        <v>60.2</v>
      </c>
      <c r="K240" s="34">
        <v>56.5</v>
      </c>
      <c r="L240" s="34">
        <v>60.7</v>
      </c>
      <c r="M240" s="34">
        <v>60</v>
      </c>
      <c r="N240" s="34">
        <v>60.05</v>
      </c>
      <c r="O240" s="38"/>
      <c r="P240" s="38"/>
      <c r="Q240" s="38"/>
      <c r="R240" s="35"/>
      <c r="S240" s="35"/>
      <c r="T240" s="35"/>
      <c r="U240" s="35"/>
      <c r="V240" s="35"/>
      <c r="W240" s="35"/>
      <c r="X240" s="35"/>
      <c r="Y240" s="35"/>
    </row>
    <row r="241" spans="1:25" x14ac:dyDescent="0.25">
      <c r="A241" s="3">
        <v>219</v>
      </c>
      <c r="B241" s="36"/>
      <c r="C241" s="32">
        <v>0.36249999999999999</v>
      </c>
      <c r="D241" s="32">
        <v>0.1125</v>
      </c>
      <c r="E241" s="32">
        <v>0.25</v>
      </c>
      <c r="F241" s="33">
        <v>25</v>
      </c>
      <c r="G241" s="34">
        <v>61.650000000000006</v>
      </c>
      <c r="H241" s="34">
        <v>26.7</v>
      </c>
      <c r="I241" s="34">
        <v>60.6</v>
      </c>
      <c r="J241" s="34">
        <v>60.1</v>
      </c>
      <c r="K241" s="34">
        <v>56.45</v>
      </c>
      <c r="L241" s="34">
        <v>60.6</v>
      </c>
      <c r="M241" s="34">
        <v>59.9</v>
      </c>
      <c r="N241" s="34">
        <v>59.95</v>
      </c>
      <c r="O241" s="38"/>
      <c r="P241" s="38"/>
      <c r="Q241" s="38"/>
      <c r="R241" s="35"/>
      <c r="S241" s="35"/>
      <c r="T241" s="35"/>
      <c r="U241" s="35"/>
      <c r="V241" s="35"/>
      <c r="W241" s="35"/>
      <c r="X241" s="35"/>
      <c r="Y241" s="35"/>
    </row>
    <row r="242" spans="1:25" x14ac:dyDescent="0.25">
      <c r="A242" s="3">
        <v>220</v>
      </c>
      <c r="B242" s="36"/>
      <c r="C242" s="32">
        <v>0.36249999999999999</v>
      </c>
      <c r="D242" s="32">
        <v>0.1125</v>
      </c>
      <c r="E242" s="32">
        <v>0.25</v>
      </c>
      <c r="F242" s="33">
        <v>25</v>
      </c>
      <c r="G242" s="34">
        <v>61.650000000000006</v>
      </c>
      <c r="H242" s="34">
        <v>26.7</v>
      </c>
      <c r="I242" s="34">
        <v>60.6</v>
      </c>
      <c r="J242" s="34">
        <v>60.1</v>
      </c>
      <c r="K242" s="34">
        <v>56.45</v>
      </c>
      <c r="L242" s="34">
        <v>60.6</v>
      </c>
      <c r="M242" s="34">
        <v>59.9</v>
      </c>
      <c r="N242" s="34">
        <v>59.95</v>
      </c>
      <c r="O242" s="38"/>
      <c r="P242" s="38"/>
      <c r="Q242" s="38"/>
      <c r="R242" s="35"/>
      <c r="S242" s="35"/>
      <c r="T242" s="35"/>
      <c r="U242" s="35"/>
      <c r="V242" s="35"/>
      <c r="W242" s="35"/>
      <c r="X242" s="35"/>
      <c r="Y242" s="35"/>
    </row>
    <row r="243" spans="1:25" x14ac:dyDescent="0.25">
      <c r="A243" s="36"/>
      <c r="B243" s="36"/>
      <c r="C243" s="39"/>
      <c r="D243" s="39"/>
      <c r="E243" s="39"/>
      <c r="F243" s="37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5"/>
      <c r="S243" s="35"/>
      <c r="T243" s="35"/>
      <c r="U243" s="35"/>
      <c r="V243" s="35"/>
      <c r="W243" s="35"/>
      <c r="X243" s="35"/>
      <c r="Y243" s="35"/>
    </row>
    <row r="244" spans="1:25" x14ac:dyDescent="0.25">
      <c r="A244" s="3">
        <v>221</v>
      </c>
      <c r="B244" s="3" t="s">
        <v>69</v>
      </c>
      <c r="C244" s="32">
        <v>0.33250000000000002</v>
      </c>
      <c r="D244" s="32">
        <v>0.1</v>
      </c>
      <c r="E244" s="32">
        <v>0.23250000000000001</v>
      </c>
      <c r="F244" s="33">
        <v>20</v>
      </c>
      <c r="G244" s="34">
        <v>61.6</v>
      </c>
      <c r="H244" s="34">
        <v>26.799999999999997</v>
      </c>
      <c r="I244" s="34">
        <v>60.8</v>
      </c>
      <c r="J244" s="34">
        <v>60.3</v>
      </c>
      <c r="K244" s="34">
        <v>56.55</v>
      </c>
      <c r="L244" s="34">
        <v>60.6</v>
      </c>
      <c r="M244" s="34">
        <v>60.1</v>
      </c>
      <c r="N244" s="34">
        <v>60</v>
      </c>
      <c r="O244" s="38"/>
      <c r="P244" s="38"/>
      <c r="Q244" s="38"/>
      <c r="R244" s="35"/>
      <c r="S244" s="35"/>
      <c r="T244" s="35"/>
      <c r="U244" s="35"/>
      <c r="V244" s="35"/>
      <c r="W244" s="35"/>
      <c r="X244" s="35"/>
      <c r="Y244" s="35"/>
    </row>
    <row r="245" spans="1:25" x14ac:dyDescent="0.25">
      <c r="A245" s="3">
        <v>222</v>
      </c>
      <c r="B245" s="36"/>
      <c r="C245" s="32">
        <v>0.33250000000000002</v>
      </c>
      <c r="D245" s="32">
        <v>0.1</v>
      </c>
      <c r="E245" s="32">
        <v>0.23250000000000001</v>
      </c>
      <c r="F245" s="33">
        <v>20</v>
      </c>
      <c r="G245" s="34">
        <v>61.6</v>
      </c>
      <c r="H245" s="34">
        <v>26.799999999999997</v>
      </c>
      <c r="I245" s="34">
        <v>60.8</v>
      </c>
      <c r="J245" s="34">
        <v>60.3</v>
      </c>
      <c r="K245" s="34">
        <v>56.55</v>
      </c>
      <c r="L245" s="34">
        <v>60.6</v>
      </c>
      <c r="M245" s="34">
        <v>60.1</v>
      </c>
      <c r="N245" s="34">
        <v>60</v>
      </c>
      <c r="O245" s="38"/>
      <c r="P245" s="38"/>
      <c r="Q245" s="38"/>
      <c r="R245" s="35"/>
      <c r="S245" s="35"/>
      <c r="T245" s="35"/>
      <c r="U245" s="35"/>
      <c r="V245" s="35"/>
      <c r="W245" s="35"/>
      <c r="X245" s="35"/>
      <c r="Y245" s="35"/>
    </row>
    <row r="246" spans="1:25" x14ac:dyDescent="0.25">
      <c r="A246" s="3">
        <v>223</v>
      </c>
      <c r="B246" s="36"/>
      <c r="C246" s="32">
        <v>0.33250000000000002</v>
      </c>
      <c r="D246" s="32">
        <v>0.1</v>
      </c>
      <c r="E246" s="32">
        <v>0.23250000000000001</v>
      </c>
      <c r="F246" s="33">
        <v>20</v>
      </c>
      <c r="G246" s="34">
        <v>61.5</v>
      </c>
      <c r="H246" s="34">
        <v>26.799999999999997</v>
      </c>
      <c r="I246" s="34">
        <v>60.8</v>
      </c>
      <c r="J246" s="34">
        <v>60.3</v>
      </c>
      <c r="K246" s="34">
        <v>56.55</v>
      </c>
      <c r="L246" s="34">
        <v>60.6</v>
      </c>
      <c r="M246" s="34">
        <v>60.1</v>
      </c>
      <c r="N246" s="34">
        <v>60</v>
      </c>
      <c r="O246" s="38"/>
      <c r="P246" s="38"/>
      <c r="Q246" s="38"/>
      <c r="R246" s="35"/>
      <c r="S246" s="35"/>
      <c r="T246" s="35"/>
      <c r="U246" s="35"/>
      <c r="V246" s="35"/>
      <c r="W246" s="35"/>
      <c r="X246" s="35"/>
      <c r="Y246" s="35"/>
    </row>
    <row r="247" spans="1:25" x14ac:dyDescent="0.25">
      <c r="A247" s="3">
        <v>224</v>
      </c>
      <c r="B247" s="36"/>
      <c r="C247" s="32">
        <v>0.33250000000000002</v>
      </c>
      <c r="D247" s="32">
        <v>0.1</v>
      </c>
      <c r="E247" s="32">
        <v>0.23250000000000001</v>
      </c>
      <c r="F247" s="33">
        <v>20</v>
      </c>
      <c r="G247" s="34">
        <v>61.55</v>
      </c>
      <c r="H247" s="34">
        <v>26.799999999999997</v>
      </c>
      <c r="I247" s="34">
        <v>60.8</v>
      </c>
      <c r="J247" s="34">
        <v>60.1</v>
      </c>
      <c r="K247" s="34">
        <v>56.35</v>
      </c>
      <c r="L247" s="34">
        <v>60.6</v>
      </c>
      <c r="M247" s="34">
        <v>60.1</v>
      </c>
      <c r="N247" s="34">
        <v>60</v>
      </c>
      <c r="O247" s="38"/>
      <c r="P247" s="38"/>
      <c r="Q247" s="38"/>
      <c r="R247" s="35"/>
      <c r="S247" s="35"/>
      <c r="T247" s="35"/>
      <c r="U247" s="35"/>
      <c r="V247" s="35"/>
      <c r="W247" s="35"/>
      <c r="X247" s="35"/>
      <c r="Y247" s="35"/>
    </row>
    <row r="248" spans="1:25" x14ac:dyDescent="0.25">
      <c r="A248" s="3">
        <v>225</v>
      </c>
      <c r="B248" s="36"/>
      <c r="C248" s="32">
        <v>0.33250000000000002</v>
      </c>
      <c r="D248" s="32">
        <v>0.1</v>
      </c>
      <c r="E248" s="32">
        <v>0.23250000000000001</v>
      </c>
      <c r="F248" s="33">
        <v>20</v>
      </c>
      <c r="G248" s="34">
        <v>61.6</v>
      </c>
      <c r="H248" s="34">
        <v>26.799999999999997</v>
      </c>
      <c r="I248" s="34">
        <v>60.8</v>
      </c>
      <c r="J248" s="34">
        <v>60.1</v>
      </c>
      <c r="K248" s="34">
        <v>56.45</v>
      </c>
      <c r="L248" s="34">
        <v>60.6</v>
      </c>
      <c r="M248" s="34">
        <v>60.1</v>
      </c>
      <c r="N248" s="34">
        <v>60</v>
      </c>
      <c r="O248" s="38"/>
      <c r="P248" s="38"/>
      <c r="Q248" s="38"/>
      <c r="R248" s="35"/>
      <c r="S248" s="35"/>
      <c r="T248" s="35"/>
      <c r="U248" s="35"/>
      <c r="V248" s="35"/>
      <c r="W248" s="35"/>
      <c r="X248" s="35"/>
      <c r="Y248" s="35"/>
    </row>
    <row r="249" spans="1:25" x14ac:dyDescent="0.25">
      <c r="A249" s="3">
        <v>226</v>
      </c>
      <c r="B249" s="36"/>
      <c r="C249" s="32">
        <v>0.33250000000000002</v>
      </c>
      <c r="D249" s="32">
        <v>0.1</v>
      </c>
      <c r="E249" s="32">
        <v>0.23250000000000001</v>
      </c>
      <c r="F249" s="33">
        <v>20</v>
      </c>
      <c r="G249" s="34">
        <v>61.6</v>
      </c>
      <c r="H249" s="34">
        <v>26.799999999999997</v>
      </c>
      <c r="I249" s="34">
        <v>60.8</v>
      </c>
      <c r="J249" s="34">
        <v>60.1</v>
      </c>
      <c r="K249" s="34">
        <v>56.55</v>
      </c>
      <c r="L249" s="34">
        <v>60.6</v>
      </c>
      <c r="M249" s="34">
        <v>60.1</v>
      </c>
      <c r="N249" s="34">
        <v>60</v>
      </c>
      <c r="O249" s="38"/>
      <c r="P249" s="38"/>
      <c r="Q249" s="38"/>
      <c r="R249" s="35"/>
      <c r="S249" s="35"/>
      <c r="T249" s="35"/>
      <c r="U249" s="35"/>
      <c r="V249" s="35"/>
      <c r="W249" s="35"/>
      <c r="X249" s="35"/>
      <c r="Y249" s="35"/>
    </row>
    <row r="250" spans="1:25" x14ac:dyDescent="0.25">
      <c r="A250" s="3">
        <v>227</v>
      </c>
      <c r="B250" s="36"/>
      <c r="C250" s="32">
        <v>0.33250000000000002</v>
      </c>
      <c r="D250" s="32">
        <v>0.1</v>
      </c>
      <c r="E250" s="32">
        <v>0.23250000000000001</v>
      </c>
      <c r="F250" s="33">
        <v>20</v>
      </c>
      <c r="G250" s="34">
        <v>61.6</v>
      </c>
      <c r="H250" s="34">
        <v>26.799999999999997</v>
      </c>
      <c r="I250" s="34">
        <v>60.8</v>
      </c>
      <c r="J250" s="34">
        <v>60.1</v>
      </c>
      <c r="K250" s="34">
        <v>56.55</v>
      </c>
      <c r="L250" s="34">
        <v>60.6</v>
      </c>
      <c r="M250" s="34">
        <v>60.1</v>
      </c>
      <c r="N250" s="34">
        <v>60</v>
      </c>
      <c r="O250" s="38"/>
      <c r="P250" s="38"/>
      <c r="Q250" s="38"/>
      <c r="R250" s="35"/>
      <c r="S250" s="35"/>
      <c r="T250" s="35"/>
      <c r="U250" s="35"/>
      <c r="V250" s="35"/>
      <c r="W250" s="35"/>
      <c r="X250" s="35"/>
      <c r="Y250" s="35"/>
    </row>
    <row r="251" spans="1:25" x14ac:dyDescent="0.25">
      <c r="A251" s="3">
        <v>228</v>
      </c>
      <c r="B251" s="36"/>
      <c r="C251" s="32">
        <v>0.33250000000000002</v>
      </c>
      <c r="D251" s="32">
        <v>0.1</v>
      </c>
      <c r="E251" s="32">
        <v>0.23250000000000001</v>
      </c>
      <c r="F251" s="33">
        <v>20</v>
      </c>
      <c r="G251" s="34">
        <v>61.6</v>
      </c>
      <c r="H251" s="34">
        <v>26.799999999999997</v>
      </c>
      <c r="I251" s="34">
        <v>60.8</v>
      </c>
      <c r="J251" s="34">
        <v>60.1</v>
      </c>
      <c r="K251" s="34">
        <v>56.650000000000006</v>
      </c>
      <c r="L251" s="34">
        <v>60.6</v>
      </c>
      <c r="M251" s="34">
        <v>60.1</v>
      </c>
      <c r="N251" s="34">
        <v>60</v>
      </c>
      <c r="O251" s="38"/>
      <c r="P251" s="38"/>
      <c r="Q251" s="38"/>
      <c r="R251" s="35"/>
      <c r="S251" s="35"/>
      <c r="T251" s="35"/>
      <c r="U251" s="35"/>
      <c r="V251" s="35"/>
      <c r="W251" s="35"/>
      <c r="X251" s="35"/>
      <c r="Y251" s="35"/>
    </row>
    <row r="252" spans="1:25" x14ac:dyDescent="0.25">
      <c r="A252" s="3">
        <v>229</v>
      </c>
      <c r="B252" s="36"/>
      <c r="C252" s="32">
        <v>0.33250000000000002</v>
      </c>
      <c r="D252" s="32">
        <v>0.1</v>
      </c>
      <c r="E252" s="32">
        <v>0.23250000000000001</v>
      </c>
      <c r="F252" s="33">
        <v>20</v>
      </c>
      <c r="G252" s="34">
        <v>61.6</v>
      </c>
      <c r="H252" s="34">
        <v>26.7</v>
      </c>
      <c r="I252" s="34">
        <v>60.8</v>
      </c>
      <c r="J252" s="34">
        <v>60.1</v>
      </c>
      <c r="K252" s="34">
        <v>56.400000000000006</v>
      </c>
      <c r="L252" s="34">
        <v>60.6</v>
      </c>
      <c r="M252" s="34">
        <v>60.1</v>
      </c>
      <c r="N252" s="34">
        <v>60</v>
      </c>
      <c r="O252" s="38"/>
      <c r="P252" s="38"/>
      <c r="Q252" s="38"/>
      <c r="R252" s="35"/>
      <c r="S252" s="35"/>
      <c r="T252" s="35"/>
      <c r="U252" s="35"/>
      <c r="V252" s="35"/>
      <c r="W252" s="35"/>
      <c r="X252" s="35"/>
      <c r="Y252" s="35"/>
    </row>
    <row r="253" spans="1:25" x14ac:dyDescent="0.25">
      <c r="A253" s="3">
        <v>230</v>
      </c>
      <c r="B253" s="36"/>
      <c r="C253" s="32">
        <v>0.33250000000000002</v>
      </c>
      <c r="D253" s="32">
        <v>0.1</v>
      </c>
      <c r="E253" s="32">
        <v>0.23250000000000001</v>
      </c>
      <c r="F253" s="33">
        <v>20</v>
      </c>
      <c r="G253" s="34">
        <v>61.5</v>
      </c>
      <c r="H253" s="34">
        <v>26.7</v>
      </c>
      <c r="I253" s="34">
        <v>60.8</v>
      </c>
      <c r="J253" s="34">
        <v>60.1</v>
      </c>
      <c r="K253" s="34">
        <v>56.2</v>
      </c>
      <c r="L253" s="34">
        <v>60.6</v>
      </c>
      <c r="M253" s="34">
        <v>60.1</v>
      </c>
      <c r="N253" s="34">
        <v>59.849999999999994</v>
      </c>
      <c r="O253" s="38"/>
      <c r="P253" s="38"/>
      <c r="Q253" s="38"/>
      <c r="R253" s="35"/>
      <c r="S253" s="35"/>
      <c r="T253" s="35"/>
      <c r="U253" s="35"/>
      <c r="V253" s="35"/>
      <c r="W253" s="35"/>
      <c r="X253" s="35"/>
      <c r="Y253" s="35"/>
    </row>
    <row r="254" spans="1:25" x14ac:dyDescent="0.25">
      <c r="A254" s="36"/>
      <c r="B254" s="36"/>
      <c r="C254" s="39"/>
      <c r="D254" s="39"/>
      <c r="E254" s="39"/>
      <c r="F254" s="37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5"/>
      <c r="S254" s="35"/>
      <c r="T254" s="35"/>
      <c r="U254" s="35"/>
      <c r="V254" s="35"/>
      <c r="W254" s="35"/>
      <c r="X254" s="35"/>
      <c r="Y254" s="35"/>
    </row>
    <row r="255" spans="1:25" x14ac:dyDescent="0.25">
      <c r="A255" s="3">
        <v>231</v>
      </c>
      <c r="B255" s="3" t="s">
        <v>70</v>
      </c>
      <c r="C255" s="32">
        <v>0.21249999999999999</v>
      </c>
      <c r="D255" s="32">
        <v>9.7500000000000003E-2</v>
      </c>
      <c r="E255" s="32">
        <v>0.11499999999999999</v>
      </c>
      <c r="F255" s="33">
        <v>15</v>
      </c>
      <c r="G255" s="34">
        <v>61.6</v>
      </c>
      <c r="H255" s="34">
        <v>26.700000000000003</v>
      </c>
      <c r="I255" s="34">
        <v>60.7</v>
      </c>
      <c r="J255" s="34">
        <v>60.2</v>
      </c>
      <c r="K255" s="34">
        <v>56.349999999999994</v>
      </c>
      <c r="L255" s="34">
        <v>60.6</v>
      </c>
      <c r="M255" s="34">
        <v>60</v>
      </c>
      <c r="N255" s="34">
        <v>59.9</v>
      </c>
      <c r="O255" s="38"/>
      <c r="P255" s="38"/>
      <c r="Q255" s="38"/>
      <c r="R255" s="35"/>
      <c r="S255" s="35"/>
      <c r="T255" s="35"/>
      <c r="U255" s="35"/>
      <c r="V255" s="35"/>
      <c r="W255" s="35"/>
      <c r="X255" s="35"/>
      <c r="Y255" s="35"/>
    </row>
    <row r="256" spans="1:25" x14ac:dyDescent="0.25">
      <c r="A256" s="3">
        <v>232</v>
      </c>
      <c r="B256" s="36"/>
      <c r="C256" s="32">
        <v>0.21249999999999999</v>
      </c>
      <c r="D256" s="32">
        <v>9.7500000000000003E-2</v>
      </c>
      <c r="E256" s="32">
        <v>0.11499999999999999</v>
      </c>
      <c r="F256" s="33">
        <v>15</v>
      </c>
      <c r="G256" s="34">
        <v>61.5</v>
      </c>
      <c r="H256" s="34">
        <v>26.700000000000003</v>
      </c>
      <c r="I256" s="34">
        <v>60.7</v>
      </c>
      <c r="J256" s="34">
        <v>60.2</v>
      </c>
      <c r="K256" s="34">
        <v>56.3</v>
      </c>
      <c r="L256" s="34">
        <v>60.6</v>
      </c>
      <c r="M256" s="34">
        <v>60</v>
      </c>
      <c r="N256" s="34">
        <v>59.95</v>
      </c>
      <c r="O256" s="38"/>
      <c r="P256" s="38"/>
      <c r="Q256" s="38"/>
      <c r="R256" s="35"/>
      <c r="S256" s="35"/>
      <c r="T256" s="35"/>
      <c r="U256" s="35"/>
      <c r="V256" s="35"/>
      <c r="W256" s="35"/>
      <c r="X256" s="35"/>
      <c r="Y256" s="35"/>
    </row>
    <row r="257" spans="1:25" x14ac:dyDescent="0.25">
      <c r="A257" s="3">
        <v>233</v>
      </c>
      <c r="B257" s="36"/>
      <c r="C257" s="32">
        <v>0.21249999999999999</v>
      </c>
      <c r="D257" s="32">
        <v>9.7500000000000003E-2</v>
      </c>
      <c r="E257" s="32">
        <v>0.11499999999999999</v>
      </c>
      <c r="F257" s="33">
        <v>15</v>
      </c>
      <c r="G257" s="34">
        <v>61.55</v>
      </c>
      <c r="H257" s="34">
        <v>26.700000000000003</v>
      </c>
      <c r="I257" s="34">
        <v>60.7</v>
      </c>
      <c r="J257" s="34">
        <v>60.2</v>
      </c>
      <c r="K257" s="34">
        <v>56.400000000000006</v>
      </c>
      <c r="L257" s="34">
        <v>60.6</v>
      </c>
      <c r="M257" s="34">
        <v>60</v>
      </c>
      <c r="N257" s="34">
        <v>59.95</v>
      </c>
      <c r="O257" s="38"/>
      <c r="P257" s="38"/>
      <c r="Q257" s="38"/>
      <c r="R257" s="35"/>
      <c r="S257" s="35"/>
      <c r="T257" s="35"/>
      <c r="U257" s="35"/>
      <c r="V257" s="35"/>
      <c r="W257" s="35"/>
      <c r="X257" s="35"/>
      <c r="Y257" s="35"/>
    </row>
    <row r="258" spans="1:25" x14ac:dyDescent="0.25">
      <c r="A258" s="3">
        <v>234</v>
      </c>
      <c r="B258" s="36"/>
      <c r="C258" s="32">
        <v>0.21249999999999999</v>
      </c>
      <c r="D258" s="32">
        <v>9.7500000000000003E-2</v>
      </c>
      <c r="E258" s="32">
        <v>0.11499999999999999</v>
      </c>
      <c r="F258" s="33">
        <v>15</v>
      </c>
      <c r="G258" s="34">
        <v>61.7</v>
      </c>
      <c r="H258" s="34">
        <v>26.6</v>
      </c>
      <c r="I258" s="34">
        <v>60.6</v>
      </c>
      <c r="J258" s="34">
        <v>60</v>
      </c>
      <c r="K258" s="34">
        <v>56.7</v>
      </c>
      <c r="L258" s="34">
        <v>60.6</v>
      </c>
      <c r="M258" s="34">
        <v>60</v>
      </c>
      <c r="N258" s="34">
        <v>59.95</v>
      </c>
      <c r="O258" s="38"/>
      <c r="P258" s="38"/>
      <c r="Q258" s="38"/>
      <c r="R258" s="35"/>
      <c r="S258" s="35"/>
      <c r="T258" s="35"/>
      <c r="U258" s="35"/>
      <c r="V258" s="35"/>
      <c r="W258" s="35"/>
      <c r="X258" s="35"/>
      <c r="Y258" s="35"/>
    </row>
    <row r="259" spans="1:25" x14ac:dyDescent="0.25">
      <c r="A259" s="3">
        <v>235</v>
      </c>
      <c r="B259" s="36"/>
      <c r="C259" s="32">
        <v>0.21249999999999999</v>
      </c>
      <c r="D259" s="32">
        <v>9.7500000000000003E-2</v>
      </c>
      <c r="E259" s="32">
        <v>0.11499999999999999</v>
      </c>
      <c r="F259" s="33">
        <v>15</v>
      </c>
      <c r="G259" s="34">
        <v>61.650000000000006</v>
      </c>
      <c r="H259" s="34">
        <v>26.6</v>
      </c>
      <c r="I259" s="34">
        <v>60.6</v>
      </c>
      <c r="J259" s="34">
        <v>60.1</v>
      </c>
      <c r="K259" s="34">
        <v>56.9</v>
      </c>
      <c r="L259" s="34">
        <v>60.6</v>
      </c>
      <c r="M259" s="34">
        <v>60.1</v>
      </c>
      <c r="N259" s="34">
        <v>60.05</v>
      </c>
      <c r="O259" s="38"/>
      <c r="P259" s="38"/>
      <c r="Q259" s="38"/>
      <c r="R259" s="35"/>
      <c r="S259" s="35"/>
      <c r="T259" s="35"/>
      <c r="U259" s="35"/>
      <c r="V259" s="35"/>
      <c r="W259" s="35"/>
      <c r="X259" s="35"/>
      <c r="Y259" s="35"/>
    </row>
    <row r="260" spans="1:25" x14ac:dyDescent="0.25">
      <c r="A260" s="3">
        <v>236</v>
      </c>
      <c r="B260" s="36"/>
      <c r="C260" s="32">
        <v>0.21249999999999999</v>
      </c>
      <c r="D260" s="32">
        <v>9.7500000000000003E-2</v>
      </c>
      <c r="E260" s="32">
        <v>0.11499999999999999</v>
      </c>
      <c r="F260" s="33">
        <v>15</v>
      </c>
      <c r="G260" s="34">
        <v>61.6</v>
      </c>
      <c r="H260" s="34">
        <v>26.6</v>
      </c>
      <c r="I260" s="34">
        <v>60.6</v>
      </c>
      <c r="J260" s="34">
        <v>60.1</v>
      </c>
      <c r="K260" s="34">
        <v>56.8</v>
      </c>
      <c r="L260" s="34">
        <v>60.5</v>
      </c>
      <c r="M260" s="34">
        <v>59.9</v>
      </c>
      <c r="N260" s="34">
        <v>60</v>
      </c>
      <c r="O260" s="38"/>
      <c r="P260" s="38"/>
      <c r="Q260" s="38"/>
      <c r="R260" s="35"/>
      <c r="S260" s="35"/>
      <c r="T260" s="35"/>
      <c r="U260" s="35"/>
      <c r="V260" s="35"/>
      <c r="W260" s="35"/>
      <c r="X260" s="35"/>
      <c r="Y260" s="35"/>
    </row>
    <row r="261" spans="1:25" x14ac:dyDescent="0.25">
      <c r="A261" s="3">
        <v>237</v>
      </c>
      <c r="B261" s="36"/>
      <c r="C261" s="32">
        <v>0.21249999999999999</v>
      </c>
      <c r="D261" s="32">
        <v>9.7500000000000003E-2</v>
      </c>
      <c r="E261" s="32">
        <v>0.11499999999999999</v>
      </c>
      <c r="F261" s="33">
        <v>15</v>
      </c>
      <c r="G261" s="34">
        <v>61.5</v>
      </c>
      <c r="H261" s="34">
        <v>26.6</v>
      </c>
      <c r="I261" s="34">
        <v>60.5</v>
      </c>
      <c r="J261" s="34">
        <v>59.9</v>
      </c>
      <c r="K261" s="34">
        <v>56.8</v>
      </c>
      <c r="L261" s="34">
        <v>60.5</v>
      </c>
      <c r="M261" s="34">
        <v>59.9</v>
      </c>
      <c r="N261" s="34">
        <v>60</v>
      </c>
      <c r="O261" s="38"/>
      <c r="P261" s="38"/>
      <c r="Q261" s="38"/>
      <c r="R261" s="35"/>
      <c r="S261" s="35"/>
      <c r="T261" s="35"/>
      <c r="U261" s="35"/>
      <c r="V261" s="35"/>
      <c r="W261" s="35"/>
      <c r="X261" s="35"/>
      <c r="Y261" s="35"/>
    </row>
    <row r="262" spans="1:25" x14ac:dyDescent="0.25">
      <c r="A262" s="3">
        <v>238</v>
      </c>
      <c r="B262" s="36"/>
      <c r="C262" s="32">
        <v>0.21249999999999999</v>
      </c>
      <c r="D262" s="32">
        <v>9.7500000000000003E-2</v>
      </c>
      <c r="E262" s="32">
        <v>0.11499999999999999</v>
      </c>
      <c r="F262" s="33">
        <v>15</v>
      </c>
      <c r="G262" s="34">
        <v>61.7</v>
      </c>
      <c r="H262" s="34">
        <v>26.700000000000003</v>
      </c>
      <c r="I262" s="34">
        <v>60.6</v>
      </c>
      <c r="J262" s="34">
        <v>60</v>
      </c>
      <c r="K262" s="34">
        <v>56.8</v>
      </c>
      <c r="L262" s="34">
        <v>60.4</v>
      </c>
      <c r="M262" s="34">
        <v>59.8</v>
      </c>
      <c r="N262" s="34">
        <v>60</v>
      </c>
      <c r="O262" s="38"/>
      <c r="P262" s="38"/>
      <c r="Q262" s="38"/>
      <c r="R262" s="35"/>
      <c r="S262" s="35"/>
      <c r="T262" s="35"/>
      <c r="U262" s="35"/>
      <c r="V262" s="35"/>
      <c r="W262" s="35"/>
      <c r="X262" s="35"/>
      <c r="Y262" s="35"/>
    </row>
    <row r="263" spans="1:25" x14ac:dyDescent="0.25">
      <c r="A263" s="3">
        <v>239</v>
      </c>
      <c r="B263" s="36"/>
      <c r="C263" s="32">
        <v>0.21249999999999999</v>
      </c>
      <c r="D263" s="32">
        <v>9.7500000000000003E-2</v>
      </c>
      <c r="E263" s="32">
        <v>0.11499999999999999</v>
      </c>
      <c r="F263" s="33">
        <v>15</v>
      </c>
      <c r="G263" s="34">
        <v>61.7</v>
      </c>
      <c r="H263" s="34">
        <v>26.8</v>
      </c>
      <c r="I263" s="34">
        <v>60.6</v>
      </c>
      <c r="J263" s="34">
        <v>60</v>
      </c>
      <c r="K263" s="34">
        <v>56.85</v>
      </c>
      <c r="L263" s="34">
        <v>60.4</v>
      </c>
      <c r="M263" s="34">
        <v>59.8</v>
      </c>
      <c r="N263" s="34">
        <v>59.95</v>
      </c>
      <c r="O263" s="38"/>
      <c r="P263" s="38"/>
      <c r="Q263" s="38"/>
      <c r="R263" s="35"/>
      <c r="S263" s="35"/>
      <c r="T263" s="35"/>
      <c r="U263" s="35"/>
      <c r="V263" s="35"/>
      <c r="W263" s="35"/>
      <c r="X263" s="35"/>
      <c r="Y263" s="35"/>
    </row>
    <row r="264" spans="1:25" x14ac:dyDescent="0.25">
      <c r="A264" s="3">
        <v>240</v>
      </c>
      <c r="B264" s="36"/>
      <c r="C264" s="32">
        <v>0.21249999999999999</v>
      </c>
      <c r="D264" s="32">
        <v>9.7500000000000003E-2</v>
      </c>
      <c r="E264" s="32">
        <v>0.11499999999999999</v>
      </c>
      <c r="F264" s="33">
        <v>15</v>
      </c>
      <c r="G264" s="34">
        <v>61.5</v>
      </c>
      <c r="H264" s="34">
        <v>26.700000000000003</v>
      </c>
      <c r="I264" s="34">
        <v>60.6</v>
      </c>
      <c r="J264" s="34">
        <v>60</v>
      </c>
      <c r="K264" s="34">
        <v>56.7</v>
      </c>
      <c r="L264" s="34">
        <v>60.4</v>
      </c>
      <c r="M264" s="34">
        <v>59.8</v>
      </c>
      <c r="N264" s="34">
        <v>59.95</v>
      </c>
      <c r="O264" s="38"/>
      <c r="P264" s="38"/>
      <c r="Q264" s="38"/>
      <c r="R264" s="35"/>
      <c r="S264" s="35"/>
      <c r="T264" s="35"/>
      <c r="U264" s="35"/>
      <c r="V264" s="35"/>
      <c r="W264" s="35"/>
      <c r="X264" s="35"/>
      <c r="Y264" s="35"/>
    </row>
    <row r="265" spans="1:25" x14ac:dyDescent="0.25">
      <c r="A265" s="36"/>
      <c r="B265" s="36"/>
      <c r="C265" s="39"/>
      <c r="D265" s="39"/>
      <c r="E265" s="39"/>
      <c r="F265" s="37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5"/>
      <c r="S265" s="35"/>
      <c r="T265" s="35"/>
      <c r="U265" s="35"/>
      <c r="V265" s="35"/>
      <c r="W265" s="35"/>
      <c r="X265" s="35"/>
      <c r="Y265" s="35"/>
    </row>
    <row r="266" spans="1:25" x14ac:dyDescent="0.25">
      <c r="A266" s="3">
        <v>241</v>
      </c>
      <c r="B266" s="3" t="s">
        <v>71</v>
      </c>
      <c r="C266" s="32">
        <v>0.1525</v>
      </c>
      <c r="D266" s="32">
        <v>0.10249999999999999</v>
      </c>
      <c r="E266" s="32">
        <v>0.05</v>
      </c>
      <c r="F266" s="33">
        <v>10</v>
      </c>
      <c r="G266" s="34">
        <v>59.55</v>
      </c>
      <c r="H266" s="34">
        <v>27.2</v>
      </c>
      <c r="I266" s="34">
        <v>59.1</v>
      </c>
      <c r="J266" s="34">
        <v>58.7</v>
      </c>
      <c r="K266" s="34">
        <v>55.65</v>
      </c>
      <c r="L266" s="34">
        <v>58.9</v>
      </c>
      <c r="M266" s="34">
        <v>58.6</v>
      </c>
      <c r="N266" s="34">
        <v>58.2</v>
      </c>
      <c r="O266" s="38"/>
      <c r="P266" s="38"/>
      <c r="Q266" s="38"/>
      <c r="R266" s="35"/>
      <c r="S266" s="35"/>
      <c r="T266" s="35"/>
      <c r="U266" s="35"/>
      <c r="V266" s="35"/>
      <c r="W266" s="35"/>
      <c r="X266" s="35"/>
      <c r="Y266" s="35"/>
    </row>
    <row r="267" spans="1:25" x14ac:dyDescent="0.25">
      <c r="A267" s="3">
        <v>242</v>
      </c>
      <c r="B267" s="36"/>
      <c r="C267" s="32">
        <v>0.1525</v>
      </c>
      <c r="D267" s="32">
        <v>0.10249999999999999</v>
      </c>
      <c r="E267" s="32">
        <v>0.05</v>
      </c>
      <c r="F267" s="33">
        <v>10</v>
      </c>
      <c r="G267" s="34">
        <v>59.7</v>
      </c>
      <c r="H267" s="34">
        <v>27.1</v>
      </c>
      <c r="I267" s="34">
        <v>59.3</v>
      </c>
      <c r="J267" s="34">
        <v>58.9</v>
      </c>
      <c r="K267" s="34">
        <v>55.65</v>
      </c>
      <c r="L267" s="34">
        <v>58.9</v>
      </c>
      <c r="M267" s="34">
        <v>58.6</v>
      </c>
      <c r="N267" s="34">
        <v>58.2</v>
      </c>
      <c r="O267" s="38"/>
      <c r="P267" s="38"/>
      <c r="Q267" s="38"/>
      <c r="R267" s="35"/>
      <c r="S267" s="35"/>
      <c r="T267" s="35"/>
      <c r="U267" s="35"/>
      <c r="V267" s="35"/>
      <c r="W267" s="35"/>
      <c r="X267" s="35"/>
      <c r="Y267" s="35"/>
    </row>
    <row r="268" spans="1:25" x14ac:dyDescent="0.25">
      <c r="A268" s="3">
        <v>243</v>
      </c>
      <c r="B268" s="36"/>
      <c r="C268" s="32">
        <v>0.1525</v>
      </c>
      <c r="D268" s="32">
        <v>0.10249999999999999</v>
      </c>
      <c r="E268" s="32">
        <v>0.05</v>
      </c>
      <c r="F268" s="33">
        <v>10</v>
      </c>
      <c r="G268" s="34">
        <v>59.900000000000006</v>
      </c>
      <c r="H268" s="34">
        <v>27.4</v>
      </c>
      <c r="I268" s="34">
        <v>59.5</v>
      </c>
      <c r="J268" s="34">
        <v>59</v>
      </c>
      <c r="K268" s="34">
        <v>55.8</v>
      </c>
      <c r="L268" s="34">
        <v>59.2</v>
      </c>
      <c r="M268" s="34">
        <v>58.8</v>
      </c>
      <c r="N268" s="34">
        <v>58.45</v>
      </c>
      <c r="O268" s="38"/>
      <c r="P268" s="38"/>
      <c r="Q268" s="38"/>
      <c r="R268" s="35"/>
      <c r="S268" s="35"/>
      <c r="T268" s="35"/>
      <c r="U268" s="35"/>
      <c r="V268" s="35"/>
      <c r="W268" s="35"/>
      <c r="X268" s="35"/>
      <c r="Y268" s="35"/>
    </row>
    <row r="269" spans="1:25" x14ac:dyDescent="0.25">
      <c r="A269" s="3">
        <v>244</v>
      </c>
      <c r="B269" s="36"/>
      <c r="C269" s="32">
        <v>0.1525</v>
      </c>
      <c r="D269" s="32">
        <v>0.10249999999999999</v>
      </c>
      <c r="E269" s="32">
        <v>0.05</v>
      </c>
      <c r="F269" s="33">
        <v>10</v>
      </c>
      <c r="G269" s="34">
        <v>60</v>
      </c>
      <c r="H269" s="34">
        <v>27.3</v>
      </c>
      <c r="I269" s="34">
        <v>59.5</v>
      </c>
      <c r="J269" s="34">
        <v>59.2</v>
      </c>
      <c r="K269" s="34">
        <v>55.900000000000006</v>
      </c>
      <c r="L269" s="34">
        <v>59.2</v>
      </c>
      <c r="M269" s="34">
        <v>58.9</v>
      </c>
      <c r="N269" s="34">
        <v>58.55</v>
      </c>
      <c r="O269" s="38"/>
      <c r="P269" s="38"/>
      <c r="Q269" s="38"/>
      <c r="R269" s="35"/>
      <c r="S269" s="35"/>
      <c r="T269" s="35"/>
      <c r="U269" s="35"/>
      <c r="V269" s="35"/>
      <c r="W269" s="35"/>
      <c r="X269" s="35"/>
      <c r="Y269" s="35"/>
    </row>
    <row r="270" spans="1:25" x14ac:dyDescent="0.25">
      <c r="A270" s="3">
        <v>245</v>
      </c>
      <c r="B270" s="36"/>
      <c r="C270" s="32">
        <v>0.1525</v>
      </c>
      <c r="D270" s="32">
        <v>0.10249999999999999</v>
      </c>
      <c r="E270" s="32">
        <v>0.05</v>
      </c>
      <c r="F270" s="33">
        <v>10</v>
      </c>
      <c r="G270" s="34">
        <v>60.1</v>
      </c>
      <c r="H270" s="34">
        <v>27.2</v>
      </c>
      <c r="I270" s="34">
        <v>59.6</v>
      </c>
      <c r="J270" s="34">
        <v>59.3</v>
      </c>
      <c r="K270" s="34">
        <v>56</v>
      </c>
      <c r="L270" s="34">
        <v>59.3</v>
      </c>
      <c r="M270" s="34">
        <v>59.1</v>
      </c>
      <c r="N270" s="34">
        <v>58.75</v>
      </c>
      <c r="O270" s="38"/>
      <c r="P270" s="38"/>
      <c r="Q270" s="38"/>
      <c r="R270" s="35"/>
      <c r="S270" s="35"/>
      <c r="T270" s="35"/>
      <c r="U270" s="35"/>
      <c r="V270" s="35"/>
      <c r="W270" s="35"/>
      <c r="X270" s="35"/>
      <c r="Y270" s="35"/>
    </row>
    <row r="271" spans="1:25" x14ac:dyDescent="0.25">
      <c r="A271" s="3">
        <v>246</v>
      </c>
      <c r="B271" s="36"/>
      <c r="C271" s="32">
        <v>0.1525</v>
      </c>
      <c r="D271" s="32">
        <v>0.10249999999999999</v>
      </c>
      <c r="E271" s="32">
        <v>0.05</v>
      </c>
      <c r="F271" s="33">
        <v>10</v>
      </c>
      <c r="G271" s="34">
        <v>60.3</v>
      </c>
      <c r="H271" s="34">
        <v>27.2</v>
      </c>
      <c r="I271" s="34">
        <v>59.8</v>
      </c>
      <c r="J271" s="34">
        <v>59.5</v>
      </c>
      <c r="K271" s="34">
        <v>56</v>
      </c>
      <c r="L271" s="34">
        <v>59.5</v>
      </c>
      <c r="M271" s="34">
        <v>59.1</v>
      </c>
      <c r="N271" s="34">
        <v>58.75</v>
      </c>
      <c r="O271" s="38"/>
      <c r="P271" s="38"/>
      <c r="Q271" s="38"/>
      <c r="R271" s="35"/>
      <c r="S271" s="35"/>
      <c r="T271" s="35"/>
      <c r="U271" s="35"/>
      <c r="V271" s="35"/>
      <c r="W271" s="35"/>
      <c r="X271" s="35"/>
      <c r="Y271" s="35"/>
    </row>
    <row r="272" spans="1:25" x14ac:dyDescent="0.25">
      <c r="A272" s="3">
        <v>247</v>
      </c>
      <c r="B272" s="36"/>
      <c r="C272" s="32">
        <v>0.1525</v>
      </c>
      <c r="D272" s="32">
        <v>0.10249999999999999</v>
      </c>
      <c r="E272" s="32">
        <v>0.05</v>
      </c>
      <c r="F272" s="33">
        <v>10</v>
      </c>
      <c r="G272" s="34">
        <v>60.5</v>
      </c>
      <c r="H272" s="34">
        <v>27.450000000000003</v>
      </c>
      <c r="I272" s="34">
        <v>60.1</v>
      </c>
      <c r="J272" s="34">
        <v>59.8</v>
      </c>
      <c r="K272" s="34">
        <v>56.2</v>
      </c>
      <c r="L272" s="34">
        <v>59.8</v>
      </c>
      <c r="M272" s="34">
        <v>59.4</v>
      </c>
      <c r="N272" s="34">
        <v>58.95</v>
      </c>
      <c r="O272" s="38"/>
      <c r="P272" s="38"/>
      <c r="Q272" s="38"/>
      <c r="R272" s="35"/>
      <c r="S272" s="35"/>
      <c r="T272" s="35"/>
      <c r="U272" s="35"/>
      <c r="V272" s="35"/>
      <c r="W272" s="35"/>
      <c r="X272" s="35"/>
      <c r="Y272" s="35"/>
    </row>
    <row r="273" spans="1:25" x14ac:dyDescent="0.25">
      <c r="A273" s="3">
        <v>248</v>
      </c>
      <c r="B273" s="36"/>
      <c r="C273" s="32">
        <v>0.1525</v>
      </c>
      <c r="D273" s="32">
        <v>0.10249999999999999</v>
      </c>
      <c r="E273" s="32">
        <v>0.05</v>
      </c>
      <c r="F273" s="33">
        <v>10</v>
      </c>
      <c r="G273" s="34">
        <v>60.8</v>
      </c>
      <c r="H273" s="34">
        <v>27.450000000000003</v>
      </c>
      <c r="I273" s="34">
        <v>60.3</v>
      </c>
      <c r="J273" s="34">
        <v>59.8</v>
      </c>
      <c r="K273" s="34">
        <v>56.35</v>
      </c>
      <c r="L273" s="34">
        <v>59.9</v>
      </c>
      <c r="M273" s="34">
        <v>59.6</v>
      </c>
      <c r="N273" s="34">
        <v>59.25</v>
      </c>
      <c r="O273" s="38"/>
      <c r="P273" s="38"/>
      <c r="Q273" s="38"/>
      <c r="R273" s="35"/>
      <c r="S273" s="35"/>
      <c r="T273" s="35"/>
      <c r="U273" s="35"/>
      <c r="V273" s="35"/>
      <c r="W273" s="35"/>
      <c r="X273" s="35"/>
      <c r="Y273" s="35"/>
    </row>
    <row r="274" spans="1:25" x14ac:dyDescent="0.25">
      <c r="A274" s="3">
        <v>249</v>
      </c>
      <c r="B274" s="36"/>
      <c r="C274" s="32">
        <v>0.1525</v>
      </c>
      <c r="D274" s="32">
        <v>0.10249999999999999</v>
      </c>
      <c r="E274" s="32">
        <v>0.05</v>
      </c>
      <c r="F274" s="33">
        <v>10</v>
      </c>
      <c r="G274" s="34">
        <v>60.8</v>
      </c>
      <c r="H274" s="34">
        <v>27.25</v>
      </c>
      <c r="I274" s="34">
        <v>60.3</v>
      </c>
      <c r="J274" s="34">
        <v>59.9</v>
      </c>
      <c r="K274" s="34">
        <v>56.45</v>
      </c>
      <c r="L274" s="34">
        <v>59.9</v>
      </c>
      <c r="M274" s="34">
        <v>59.8</v>
      </c>
      <c r="N274" s="34">
        <v>59.3</v>
      </c>
      <c r="O274" s="38"/>
      <c r="P274" s="38"/>
      <c r="Q274" s="38"/>
      <c r="R274" s="35"/>
      <c r="S274" s="35"/>
      <c r="T274" s="35"/>
      <c r="U274" s="35"/>
      <c r="V274" s="35"/>
      <c r="W274" s="35"/>
      <c r="X274" s="35"/>
      <c r="Y274" s="35"/>
    </row>
    <row r="275" spans="1:25" x14ac:dyDescent="0.25">
      <c r="A275" s="3">
        <v>250</v>
      </c>
      <c r="B275" s="36"/>
      <c r="C275" s="32">
        <v>0.1525</v>
      </c>
      <c r="D275" s="32">
        <v>0.10249999999999999</v>
      </c>
      <c r="E275" s="32">
        <v>0.05</v>
      </c>
      <c r="F275" s="33">
        <v>10</v>
      </c>
      <c r="G275" s="34">
        <v>60.95</v>
      </c>
      <c r="H275" s="34">
        <v>27.35</v>
      </c>
      <c r="I275" s="34">
        <v>60.6</v>
      </c>
      <c r="J275" s="34">
        <v>60</v>
      </c>
      <c r="K275" s="34">
        <v>56.650000000000006</v>
      </c>
      <c r="L275" s="34">
        <v>60.2</v>
      </c>
      <c r="M275" s="34">
        <v>59.8</v>
      </c>
      <c r="N275" s="34">
        <v>59.45</v>
      </c>
      <c r="O275" s="38"/>
      <c r="P275" s="38"/>
      <c r="Q275" s="38"/>
      <c r="R275" s="35"/>
      <c r="S275" s="35"/>
      <c r="T275" s="35"/>
      <c r="U275" s="35"/>
      <c r="V275" s="35"/>
      <c r="W275" s="35"/>
      <c r="X275" s="35"/>
      <c r="Y275" s="35"/>
    </row>
    <row r="276" spans="1:25" x14ac:dyDescent="0.25">
      <c r="A276" s="36"/>
      <c r="B276" s="36"/>
      <c r="C276" s="39"/>
      <c r="D276" s="39"/>
      <c r="E276" s="39"/>
      <c r="F276" s="37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5"/>
      <c r="S276" s="35"/>
      <c r="T276" s="35"/>
      <c r="U276" s="35"/>
      <c r="V276" s="35"/>
      <c r="W276" s="35"/>
      <c r="X276" s="35"/>
      <c r="Y276" s="35"/>
    </row>
    <row r="277" spans="1:25" x14ac:dyDescent="0.25">
      <c r="A277" s="3">
        <v>251</v>
      </c>
      <c r="B277" s="3" t="s">
        <v>72</v>
      </c>
      <c r="C277" s="32">
        <v>0.10249999999999999</v>
      </c>
      <c r="D277" s="32">
        <v>8.7499999999999994E-2</v>
      </c>
      <c r="E277" s="32">
        <v>1.4999999999999999E-2</v>
      </c>
      <c r="F277" s="33">
        <v>5</v>
      </c>
      <c r="G277" s="34">
        <v>60.3</v>
      </c>
      <c r="H277" s="34">
        <v>27.65</v>
      </c>
      <c r="I277" s="34">
        <v>59.5</v>
      </c>
      <c r="J277" s="34">
        <v>59.3</v>
      </c>
      <c r="K277" s="34">
        <v>55.55</v>
      </c>
      <c r="L277" s="34">
        <v>59.3</v>
      </c>
      <c r="M277" s="34">
        <v>59.2</v>
      </c>
      <c r="N277" s="34">
        <v>58.45</v>
      </c>
      <c r="O277" s="38"/>
      <c r="P277" s="38"/>
      <c r="Q277" s="38"/>
      <c r="R277" s="35"/>
      <c r="S277" s="35"/>
      <c r="T277" s="35"/>
      <c r="U277" s="35"/>
      <c r="V277" s="35"/>
      <c r="W277" s="35"/>
      <c r="X277" s="35"/>
      <c r="Y277" s="35"/>
    </row>
    <row r="278" spans="1:25" x14ac:dyDescent="0.25">
      <c r="A278" s="3">
        <v>252</v>
      </c>
      <c r="B278" s="36"/>
      <c r="C278" s="32">
        <v>0.10249999999999999</v>
      </c>
      <c r="D278" s="32">
        <v>8.7499999999999994E-2</v>
      </c>
      <c r="E278" s="32">
        <v>1.4999999999999999E-2</v>
      </c>
      <c r="F278" s="33">
        <v>5</v>
      </c>
      <c r="G278" s="34">
        <v>59.9</v>
      </c>
      <c r="H278" s="34">
        <v>27.85</v>
      </c>
      <c r="I278" s="34">
        <v>59.6</v>
      </c>
      <c r="J278" s="34">
        <v>59.4</v>
      </c>
      <c r="K278" s="34">
        <v>55.6</v>
      </c>
      <c r="L278" s="34">
        <v>59.3</v>
      </c>
      <c r="M278" s="34">
        <v>59.3</v>
      </c>
      <c r="N278" s="34">
        <v>58.55</v>
      </c>
      <c r="O278" s="38"/>
      <c r="P278" s="38"/>
      <c r="Q278" s="38"/>
      <c r="R278" s="35"/>
      <c r="S278" s="35"/>
      <c r="T278" s="35"/>
      <c r="U278" s="35"/>
      <c r="V278" s="35"/>
      <c r="W278" s="35"/>
      <c r="X278" s="35"/>
      <c r="Y278" s="35"/>
    </row>
    <row r="279" spans="1:25" x14ac:dyDescent="0.25">
      <c r="A279" s="3">
        <v>253</v>
      </c>
      <c r="B279" s="36"/>
      <c r="C279" s="32">
        <v>0.10249999999999999</v>
      </c>
      <c r="D279" s="32">
        <v>8.7499999999999994E-2</v>
      </c>
      <c r="E279" s="32">
        <v>1.4999999999999999E-2</v>
      </c>
      <c r="F279" s="33">
        <v>5</v>
      </c>
      <c r="G279" s="34">
        <v>59.7</v>
      </c>
      <c r="H279" s="34">
        <v>27.75</v>
      </c>
      <c r="I279" s="34">
        <v>59.5</v>
      </c>
      <c r="J279" s="34">
        <v>59.3</v>
      </c>
      <c r="K279" s="34">
        <v>55.45</v>
      </c>
      <c r="L279" s="34">
        <v>59.2</v>
      </c>
      <c r="M279" s="34">
        <v>59.2</v>
      </c>
      <c r="N279" s="34">
        <v>58.45</v>
      </c>
      <c r="O279" s="38"/>
      <c r="P279" s="38"/>
      <c r="Q279" s="38"/>
      <c r="R279" s="35"/>
      <c r="S279" s="35"/>
      <c r="T279" s="35"/>
      <c r="U279" s="35"/>
      <c r="V279" s="35"/>
      <c r="W279" s="35"/>
      <c r="X279" s="35"/>
      <c r="Y279" s="35"/>
    </row>
    <row r="280" spans="1:25" x14ac:dyDescent="0.25">
      <c r="A280" s="3">
        <v>254</v>
      </c>
      <c r="B280" s="36"/>
      <c r="C280" s="32">
        <v>0.10249999999999999</v>
      </c>
      <c r="D280" s="32">
        <v>8.7499999999999994E-2</v>
      </c>
      <c r="E280" s="32">
        <v>1.4999999999999999E-2</v>
      </c>
      <c r="F280" s="33">
        <v>5</v>
      </c>
      <c r="G280" s="34">
        <v>60.150000000000006</v>
      </c>
      <c r="H280" s="34">
        <v>27.85</v>
      </c>
      <c r="I280" s="34">
        <v>59.5</v>
      </c>
      <c r="J280" s="34">
        <v>59.3</v>
      </c>
      <c r="K280" s="34">
        <v>55.3</v>
      </c>
      <c r="L280" s="34">
        <v>59.2</v>
      </c>
      <c r="M280" s="34">
        <v>59.2</v>
      </c>
      <c r="N280" s="34">
        <v>58.25</v>
      </c>
      <c r="O280" s="38"/>
      <c r="P280" s="38"/>
      <c r="Q280" s="38"/>
      <c r="R280" s="35"/>
      <c r="S280" s="35"/>
      <c r="T280" s="35"/>
      <c r="U280" s="35"/>
      <c r="V280" s="35"/>
      <c r="W280" s="35"/>
      <c r="X280" s="35"/>
      <c r="Y280" s="35"/>
    </row>
    <row r="281" spans="1:25" x14ac:dyDescent="0.25">
      <c r="A281" s="3">
        <v>255</v>
      </c>
      <c r="B281" s="36"/>
      <c r="C281" s="32">
        <v>0.10249999999999999</v>
      </c>
      <c r="D281" s="32">
        <v>8.7499999999999994E-2</v>
      </c>
      <c r="E281" s="32">
        <v>1.4999999999999999E-2</v>
      </c>
      <c r="F281" s="33">
        <v>5</v>
      </c>
      <c r="G281" s="34">
        <v>60.05</v>
      </c>
      <c r="H281" s="34">
        <v>27.85</v>
      </c>
      <c r="I281" s="34">
        <v>59.5</v>
      </c>
      <c r="J281" s="34">
        <v>59.3</v>
      </c>
      <c r="K281" s="34">
        <v>55.45</v>
      </c>
      <c r="L281" s="34">
        <v>59.2</v>
      </c>
      <c r="M281" s="34">
        <v>59.2</v>
      </c>
      <c r="N281" s="34">
        <v>58.35</v>
      </c>
      <c r="O281" s="38"/>
      <c r="P281" s="38"/>
      <c r="Q281" s="38"/>
      <c r="R281" s="35"/>
      <c r="S281" s="35"/>
      <c r="T281" s="35"/>
      <c r="U281" s="35"/>
      <c r="V281" s="35"/>
      <c r="W281" s="35"/>
      <c r="X281" s="35"/>
      <c r="Y281" s="35"/>
    </row>
    <row r="282" spans="1:25" x14ac:dyDescent="0.25">
      <c r="A282" s="3">
        <v>256</v>
      </c>
      <c r="B282" s="36"/>
      <c r="C282" s="32">
        <v>0.10249999999999999</v>
      </c>
      <c r="D282" s="32">
        <v>8.7499999999999994E-2</v>
      </c>
      <c r="E282" s="32">
        <v>1.4999999999999999E-2</v>
      </c>
      <c r="F282" s="33">
        <v>5</v>
      </c>
      <c r="G282" s="34">
        <v>60.1</v>
      </c>
      <c r="H282" s="34">
        <v>27.95</v>
      </c>
      <c r="I282" s="34">
        <v>59.6</v>
      </c>
      <c r="J282" s="34">
        <v>59.4</v>
      </c>
      <c r="K282" s="34">
        <v>55.650000000000006</v>
      </c>
      <c r="L282" s="34">
        <v>59.3</v>
      </c>
      <c r="M282" s="34">
        <v>59.3</v>
      </c>
      <c r="N282" s="34">
        <v>58.45</v>
      </c>
      <c r="O282" s="38"/>
      <c r="P282" s="38"/>
      <c r="Q282" s="38"/>
      <c r="R282" s="35"/>
      <c r="S282" s="35"/>
      <c r="T282" s="35"/>
      <c r="U282" s="35"/>
      <c r="V282" s="35"/>
      <c r="W282" s="35"/>
      <c r="X282" s="35"/>
      <c r="Y282" s="35"/>
    </row>
    <row r="283" spans="1:25" x14ac:dyDescent="0.25">
      <c r="A283" s="3">
        <v>257</v>
      </c>
      <c r="B283" s="36"/>
      <c r="C283" s="32">
        <v>0.10249999999999999</v>
      </c>
      <c r="D283" s="32">
        <v>8.7499999999999994E-2</v>
      </c>
      <c r="E283" s="32">
        <v>1.4999999999999999E-2</v>
      </c>
      <c r="F283" s="33">
        <v>5</v>
      </c>
      <c r="G283" s="34">
        <v>59.9</v>
      </c>
      <c r="H283" s="34">
        <v>28.05</v>
      </c>
      <c r="I283" s="34">
        <v>59.6</v>
      </c>
      <c r="J283" s="34">
        <v>59.4</v>
      </c>
      <c r="K283" s="34">
        <v>55.55</v>
      </c>
      <c r="L283" s="34">
        <v>59.3</v>
      </c>
      <c r="M283" s="34">
        <v>59.3</v>
      </c>
      <c r="N283" s="34">
        <v>58.45</v>
      </c>
      <c r="O283" s="38"/>
      <c r="P283" s="38"/>
      <c r="Q283" s="38"/>
      <c r="R283" s="35"/>
      <c r="S283" s="35"/>
      <c r="T283" s="35"/>
      <c r="U283" s="35"/>
      <c r="V283" s="35"/>
      <c r="W283" s="35"/>
      <c r="X283" s="35"/>
      <c r="Y283" s="35"/>
    </row>
    <row r="284" spans="1:25" x14ac:dyDescent="0.25">
      <c r="A284" s="3">
        <v>258</v>
      </c>
      <c r="B284" s="36"/>
      <c r="C284" s="32">
        <v>0.10249999999999999</v>
      </c>
      <c r="D284" s="32">
        <v>8.7499999999999994E-2</v>
      </c>
      <c r="E284" s="32">
        <v>1.4999999999999999E-2</v>
      </c>
      <c r="F284" s="33">
        <v>5</v>
      </c>
      <c r="G284" s="34">
        <v>59.9</v>
      </c>
      <c r="H284" s="34">
        <v>28.05</v>
      </c>
      <c r="I284" s="34">
        <v>59.6</v>
      </c>
      <c r="J284" s="34">
        <v>59.4</v>
      </c>
      <c r="K284" s="34">
        <v>55.3</v>
      </c>
      <c r="L284" s="34">
        <v>59.3</v>
      </c>
      <c r="M284" s="34">
        <v>59.1</v>
      </c>
      <c r="N284" s="34">
        <v>58.45</v>
      </c>
      <c r="O284" s="38"/>
      <c r="P284" s="38"/>
      <c r="Q284" s="38"/>
      <c r="R284" s="35"/>
      <c r="S284" s="35"/>
      <c r="T284" s="35"/>
      <c r="U284" s="35"/>
      <c r="V284" s="35"/>
      <c r="W284" s="35"/>
      <c r="X284" s="35"/>
      <c r="Y284" s="35"/>
    </row>
    <row r="285" spans="1:25" x14ac:dyDescent="0.25">
      <c r="A285" s="3">
        <v>259</v>
      </c>
      <c r="B285" s="36"/>
      <c r="C285" s="32">
        <v>0.10249999999999999</v>
      </c>
      <c r="D285" s="32">
        <v>8.7499999999999994E-2</v>
      </c>
      <c r="E285" s="32">
        <v>1.4999999999999999E-2</v>
      </c>
      <c r="F285" s="33">
        <v>5</v>
      </c>
      <c r="G285" s="34">
        <v>60</v>
      </c>
      <c r="H285" s="34">
        <v>28.05</v>
      </c>
      <c r="I285" s="34">
        <v>59.6</v>
      </c>
      <c r="J285" s="34">
        <v>59.4</v>
      </c>
      <c r="K285" s="34">
        <v>55.45</v>
      </c>
      <c r="L285" s="34">
        <v>59.3</v>
      </c>
      <c r="M285" s="34">
        <v>59.1</v>
      </c>
      <c r="N285" s="34">
        <v>58.349999999999994</v>
      </c>
      <c r="O285" s="38"/>
      <c r="P285" s="38"/>
      <c r="Q285" s="38"/>
      <c r="R285" s="35"/>
      <c r="S285" s="35"/>
      <c r="T285" s="35"/>
      <c r="U285" s="35"/>
      <c r="V285" s="35"/>
      <c r="W285" s="35"/>
      <c r="X285" s="35"/>
      <c r="Y285" s="35"/>
    </row>
    <row r="286" spans="1:25" x14ac:dyDescent="0.25">
      <c r="A286" s="3">
        <v>260</v>
      </c>
      <c r="B286" s="36"/>
      <c r="C286" s="32">
        <v>0.10249999999999999</v>
      </c>
      <c r="D286" s="32">
        <v>8.7499999999999994E-2</v>
      </c>
      <c r="E286" s="32">
        <v>1.4999999999999999E-2</v>
      </c>
      <c r="F286" s="33">
        <v>5</v>
      </c>
      <c r="G286" s="34">
        <v>59.95</v>
      </c>
      <c r="H286" s="34">
        <v>28.05</v>
      </c>
      <c r="I286" s="34">
        <v>59.6</v>
      </c>
      <c r="J286" s="34">
        <v>59.4</v>
      </c>
      <c r="K286" s="34">
        <v>55.45</v>
      </c>
      <c r="L286" s="34">
        <v>59.3</v>
      </c>
      <c r="M286" s="34">
        <v>59.1</v>
      </c>
      <c r="N286" s="34">
        <v>58.349999999999994</v>
      </c>
      <c r="O286" s="38"/>
      <c r="P286" s="38"/>
      <c r="Q286" s="38"/>
      <c r="R286" s="35"/>
      <c r="S286" s="35"/>
      <c r="T286" s="35"/>
      <c r="U286" s="35"/>
      <c r="V286" s="35"/>
      <c r="W286" s="35"/>
      <c r="X286" s="35"/>
      <c r="Y286" s="35"/>
    </row>
    <row r="287" spans="1:25" x14ac:dyDescent="0.25">
      <c r="A287" s="36"/>
      <c r="B287" s="36"/>
      <c r="C287" s="39"/>
      <c r="D287" s="39"/>
      <c r="E287" s="39"/>
      <c r="F287" s="37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5"/>
      <c r="S287" s="35"/>
      <c r="T287" s="35"/>
      <c r="U287" s="35"/>
      <c r="V287" s="35"/>
      <c r="W287" s="35"/>
      <c r="X287" s="35"/>
      <c r="Y287" s="35"/>
    </row>
    <row r="288" spans="1:25" x14ac:dyDescent="0.25">
      <c r="A288" s="3">
        <v>261</v>
      </c>
      <c r="B288" s="4" t="s">
        <v>73</v>
      </c>
      <c r="C288" s="32">
        <v>0.46250000000000002</v>
      </c>
      <c r="D288" s="32">
        <v>9.5000000000000001E-2</v>
      </c>
      <c r="E288" s="32">
        <v>0.36750000000000005</v>
      </c>
      <c r="F288" s="26">
        <v>20</v>
      </c>
      <c r="G288" s="34">
        <v>60.3</v>
      </c>
      <c r="H288" s="34">
        <v>27.95</v>
      </c>
      <c r="I288" s="34">
        <v>60.3</v>
      </c>
      <c r="J288" s="34">
        <v>59.5</v>
      </c>
      <c r="K288" s="34">
        <v>55.900000000000006</v>
      </c>
      <c r="L288" s="38"/>
      <c r="M288" s="38"/>
      <c r="N288" s="38"/>
      <c r="O288" s="38"/>
      <c r="P288" s="38"/>
      <c r="Q288" s="38"/>
      <c r="R288" s="35"/>
      <c r="S288" s="35"/>
      <c r="T288" s="35"/>
      <c r="U288" s="35"/>
      <c r="V288" s="35"/>
      <c r="W288" s="35"/>
      <c r="X288" s="35"/>
      <c r="Y288" s="35"/>
    </row>
    <row r="289" spans="1:25" x14ac:dyDescent="0.25">
      <c r="A289" s="3">
        <v>262</v>
      </c>
      <c r="B289" s="36"/>
      <c r="C289" s="32">
        <v>0.46250000000000002</v>
      </c>
      <c r="D289" s="32">
        <v>9.5000000000000001E-2</v>
      </c>
      <c r="E289" s="32">
        <v>0.36750000000000005</v>
      </c>
      <c r="F289" s="26">
        <v>20</v>
      </c>
      <c r="G289" s="34">
        <v>60.3</v>
      </c>
      <c r="H289" s="34">
        <v>27.95</v>
      </c>
      <c r="I289" s="34">
        <v>60.3</v>
      </c>
      <c r="J289" s="34">
        <v>59.5</v>
      </c>
      <c r="K289" s="34">
        <v>55.95</v>
      </c>
      <c r="L289" s="38"/>
      <c r="M289" s="38"/>
      <c r="N289" s="38"/>
      <c r="O289" s="38"/>
      <c r="P289" s="38"/>
      <c r="Q289" s="38"/>
      <c r="R289" s="35"/>
      <c r="S289" s="35"/>
      <c r="T289" s="35"/>
      <c r="U289" s="35"/>
      <c r="V289" s="35"/>
      <c r="W289" s="35"/>
      <c r="X289" s="35"/>
      <c r="Y289" s="35"/>
    </row>
    <row r="290" spans="1:25" x14ac:dyDescent="0.25">
      <c r="A290" s="3">
        <v>263</v>
      </c>
      <c r="B290" s="36"/>
      <c r="C290" s="32">
        <v>0.46250000000000002</v>
      </c>
      <c r="D290" s="32">
        <v>9.5000000000000001E-2</v>
      </c>
      <c r="E290" s="32">
        <v>0.36750000000000005</v>
      </c>
      <c r="F290" s="26">
        <v>20</v>
      </c>
      <c r="G290" s="34">
        <v>60.349999999999994</v>
      </c>
      <c r="H290" s="34">
        <v>27.95</v>
      </c>
      <c r="I290" s="34">
        <v>60.3</v>
      </c>
      <c r="J290" s="34">
        <v>59.5</v>
      </c>
      <c r="K290" s="34">
        <v>56.05</v>
      </c>
      <c r="L290" s="38"/>
      <c r="M290" s="38"/>
      <c r="N290" s="38"/>
      <c r="O290" s="38"/>
      <c r="P290" s="38"/>
      <c r="Q290" s="38"/>
      <c r="R290" s="35"/>
      <c r="S290" s="35"/>
      <c r="T290" s="35"/>
      <c r="U290" s="35"/>
      <c r="V290" s="35"/>
      <c r="W290" s="35"/>
      <c r="X290" s="35"/>
      <c r="Y290" s="35"/>
    </row>
    <row r="291" spans="1:25" x14ac:dyDescent="0.25">
      <c r="A291" s="3">
        <v>264</v>
      </c>
      <c r="B291" s="36"/>
      <c r="C291" s="32">
        <v>0.46250000000000002</v>
      </c>
      <c r="D291" s="32">
        <v>9.5000000000000001E-2</v>
      </c>
      <c r="E291" s="32">
        <v>0.36750000000000005</v>
      </c>
      <c r="F291" s="26">
        <v>20</v>
      </c>
      <c r="G291" s="34">
        <v>60.349999999999994</v>
      </c>
      <c r="H291" s="34">
        <v>27.95</v>
      </c>
      <c r="I291" s="34">
        <v>60.3</v>
      </c>
      <c r="J291" s="34">
        <v>59.5</v>
      </c>
      <c r="K291" s="34">
        <v>56.150000000000006</v>
      </c>
      <c r="L291" s="38"/>
      <c r="M291" s="38"/>
      <c r="N291" s="38"/>
      <c r="O291" s="38"/>
      <c r="P291" s="38"/>
      <c r="Q291" s="38"/>
      <c r="R291" s="35"/>
      <c r="S291" s="35"/>
      <c r="T291" s="35"/>
      <c r="U291" s="35"/>
      <c r="V291" s="35"/>
      <c r="W291" s="35"/>
      <c r="X291" s="35"/>
      <c r="Y291" s="35"/>
    </row>
    <row r="292" spans="1:25" x14ac:dyDescent="0.25">
      <c r="A292" s="3">
        <v>265</v>
      </c>
      <c r="B292" s="36"/>
      <c r="C292" s="32">
        <v>0.46250000000000002</v>
      </c>
      <c r="D292" s="32">
        <v>9.5000000000000001E-2</v>
      </c>
      <c r="E292" s="32">
        <v>0.36750000000000005</v>
      </c>
      <c r="F292" s="26">
        <v>20</v>
      </c>
      <c r="G292" s="34">
        <v>60.4</v>
      </c>
      <c r="H292" s="34">
        <v>27.95</v>
      </c>
      <c r="I292" s="34">
        <v>60.3</v>
      </c>
      <c r="J292" s="34">
        <v>59.5</v>
      </c>
      <c r="K292" s="34">
        <v>55.95</v>
      </c>
      <c r="L292" s="38"/>
      <c r="M292" s="38"/>
      <c r="N292" s="38"/>
      <c r="O292" s="38"/>
      <c r="P292" s="38"/>
      <c r="Q292" s="38"/>
      <c r="R292" s="35"/>
      <c r="S292" s="35"/>
      <c r="T292" s="35"/>
      <c r="U292" s="35"/>
      <c r="V292" s="35"/>
      <c r="W292" s="35"/>
      <c r="X292" s="35"/>
      <c r="Y292" s="35"/>
    </row>
    <row r="293" spans="1:25" x14ac:dyDescent="0.25">
      <c r="A293" s="3">
        <v>266</v>
      </c>
      <c r="B293" s="36"/>
      <c r="C293" s="32">
        <v>0.46250000000000002</v>
      </c>
      <c r="D293" s="32">
        <v>9.5000000000000001E-2</v>
      </c>
      <c r="E293" s="32">
        <v>0.36750000000000005</v>
      </c>
      <c r="F293" s="26">
        <v>20</v>
      </c>
      <c r="G293" s="34">
        <v>60.4</v>
      </c>
      <c r="H293" s="34">
        <v>27.95</v>
      </c>
      <c r="I293" s="34">
        <v>60.3</v>
      </c>
      <c r="J293" s="34">
        <v>59.5</v>
      </c>
      <c r="K293" s="34">
        <v>55.95</v>
      </c>
      <c r="L293" s="38"/>
      <c r="M293" s="38"/>
      <c r="N293" s="38"/>
      <c r="O293" s="38"/>
      <c r="P293" s="38"/>
      <c r="Q293" s="38"/>
      <c r="R293" s="35"/>
      <c r="S293" s="35"/>
      <c r="T293" s="35"/>
      <c r="U293" s="35"/>
      <c r="V293" s="35"/>
      <c r="W293" s="35"/>
      <c r="X293" s="35"/>
      <c r="Y293" s="35"/>
    </row>
    <row r="294" spans="1:25" x14ac:dyDescent="0.25">
      <c r="A294" s="3">
        <v>267</v>
      </c>
      <c r="B294" s="36"/>
      <c r="C294" s="32">
        <v>0.46250000000000002</v>
      </c>
      <c r="D294" s="32">
        <v>9.5000000000000001E-2</v>
      </c>
      <c r="E294" s="32">
        <v>0.36750000000000005</v>
      </c>
      <c r="F294" s="26">
        <v>20</v>
      </c>
      <c r="G294" s="34">
        <v>60.4</v>
      </c>
      <c r="H294" s="34">
        <v>27.95</v>
      </c>
      <c r="I294" s="34">
        <v>60.3</v>
      </c>
      <c r="J294" s="34">
        <v>59.5</v>
      </c>
      <c r="K294" s="34">
        <v>56.05</v>
      </c>
      <c r="L294" s="38"/>
      <c r="M294" s="38"/>
      <c r="N294" s="38"/>
      <c r="O294" s="38"/>
      <c r="P294" s="38"/>
      <c r="Q294" s="38"/>
      <c r="R294" s="35"/>
      <c r="S294" s="35"/>
      <c r="T294" s="35"/>
      <c r="U294" s="35"/>
      <c r="V294" s="35"/>
      <c r="W294" s="35"/>
      <c r="X294" s="35"/>
      <c r="Y294" s="35"/>
    </row>
    <row r="295" spans="1:25" x14ac:dyDescent="0.25">
      <c r="A295" s="3">
        <v>268</v>
      </c>
      <c r="B295" s="36"/>
      <c r="C295" s="32">
        <v>0.46250000000000002</v>
      </c>
      <c r="D295" s="32">
        <v>9.5000000000000001E-2</v>
      </c>
      <c r="E295" s="32">
        <v>0.36750000000000005</v>
      </c>
      <c r="F295" s="26">
        <v>20</v>
      </c>
      <c r="G295" s="34">
        <v>60.4</v>
      </c>
      <c r="H295" s="34">
        <v>27.95</v>
      </c>
      <c r="I295" s="34">
        <v>60.3</v>
      </c>
      <c r="J295" s="34">
        <v>59.5</v>
      </c>
      <c r="K295" s="34">
        <v>56.1</v>
      </c>
      <c r="L295" s="38"/>
      <c r="M295" s="38"/>
      <c r="N295" s="38"/>
      <c r="O295" s="38"/>
      <c r="P295" s="38"/>
      <c r="Q295" s="38"/>
      <c r="R295" s="35"/>
      <c r="S295" s="35"/>
      <c r="T295" s="35"/>
      <c r="U295" s="35"/>
      <c r="V295" s="35"/>
      <c r="W295" s="35"/>
      <c r="X295" s="35"/>
      <c r="Y295" s="35"/>
    </row>
    <row r="296" spans="1:25" x14ac:dyDescent="0.25">
      <c r="A296" s="3">
        <v>269</v>
      </c>
      <c r="B296" s="36"/>
      <c r="C296" s="32">
        <v>0.46250000000000002</v>
      </c>
      <c r="D296" s="32">
        <v>9.5000000000000001E-2</v>
      </c>
      <c r="E296" s="32">
        <v>0.36750000000000005</v>
      </c>
      <c r="F296" s="26">
        <v>20</v>
      </c>
      <c r="G296" s="34">
        <v>60.5</v>
      </c>
      <c r="H296" s="34">
        <v>27.95</v>
      </c>
      <c r="I296" s="34">
        <v>60.3</v>
      </c>
      <c r="J296" s="34">
        <v>59.5</v>
      </c>
      <c r="K296" s="34">
        <v>56.05</v>
      </c>
      <c r="L296" s="38"/>
      <c r="M296" s="38"/>
      <c r="N296" s="38"/>
      <c r="O296" s="38"/>
      <c r="P296" s="38"/>
      <c r="Q296" s="38"/>
      <c r="R296" s="35"/>
      <c r="S296" s="35"/>
      <c r="T296" s="35"/>
      <c r="U296" s="35"/>
      <c r="V296" s="35"/>
      <c r="W296" s="35"/>
      <c r="X296" s="35"/>
      <c r="Y296" s="35"/>
    </row>
    <row r="297" spans="1:25" x14ac:dyDescent="0.25">
      <c r="A297" s="3">
        <v>270</v>
      </c>
      <c r="B297" s="36"/>
      <c r="C297" s="32">
        <v>0.46250000000000002</v>
      </c>
      <c r="D297" s="32">
        <v>9.5000000000000001E-2</v>
      </c>
      <c r="E297" s="32">
        <v>0.36750000000000005</v>
      </c>
      <c r="F297" s="26">
        <v>20</v>
      </c>
      <c r="G297" s="34">
        <v>60.4</v>
      </c>
      <c r="H297" s="34">
        <v>27.95</v>
      </c>
      <c r="I297" s="34">
        <v>60.2</v>
      </c>
      <c r="J297" s="34">
        <v>59.4</v>
      </c>
      <c r="K297" s="34">
        <v>55.85</v>
      </c>
      <c r="L297" s="38"/>
      <c r="M297" s="38"/>
      <c r="N297" s="38"/>
      <c r="O297" s="38"/>
      <c r="P297" s="38"/>
      <c r="Q297" s="38"/>
      <c r="R297" s="35"/>
      <c r="S297" s="35"/>
      <c r="T297" s="35"/>
      <c r="U297" s="35"/>
      <c r="V297" s="35"/>
      <c r="W297" s="35"/>
      <c r="X297" s="35"/>
      <c r="Y297" s="35"/>
    </row>
    <row r="298" spans="1:25" x14ac:dyDescent="0.25">
      <c r="A298" s="36"/>
      <c r="B298" s="36"/>
      <c r="C298" s="39"/>
      <c r="D298" s="39"/>
      <c r="E298" s="39"/>
      <c r="F298" s="37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5"/>
      <c r="S298" s="35"/>
      <c r="T298" s="35"/>
      <c r="U298" s="35"/>
      <c r="V298" s="35"/>
      <c r="W298" s="35"/>
      <c r="X298" s="35"/>
      <c r="Y298" s="35"/>
    </row>
    <row r="299" spans="1:25" x14ac:dyDescent="0.25">
      <c r="A299" s="3">
        <v>271</v>
      </c>
      <c r="B299" s="3" t="s">
        <v>74</v>
      </c>
      <c r="C299" s="32">
        <v>0.4</v>
      </c>
      <c r="D299" s="32">
        <v>0.1</v>
      </c>
      <c r="E299" s="32">
        <v>0.30000000000000004</v>
      </c>
      <c r="F299" s="33">
        <v>15</v>
      </c>
      <c r="G299" s="34">
        <v>61.5</v>
      </c>
      <c r="H299" s="34">
        <v>27.4</v>
      </c>
      <c r="I299" s="34">
        <v>60.4</v>
      </c>
      <c r="J299" s="34">
        <v>59.8</v>
      </c>
      <c r="K299" s="34">
        <v>55.95</v>
      </c>
      <c r="L299" s="38"/>
      <c r="M299" s="38"/>
      <c r="N299" s="38"/>
      <c r="O299" s="38"/>
      <c r="P299" s="38"/>
      <c r="Q299" s="38"/>
      <c r="R299" s="35"/>
      <c r="S299" s="35"/>
      <c r="T299" s="35"/>
      <c r="U299" s="35"/>
      <c r="V299" s="35"/>
      <c r="W299" s="35"/>
      <c r="X299" s="35"/>
      <c r="Y299" s="35"/>
    </row>
    <row r="300" spans="1:25" x14ac:dyDescent="0.25">
      <c r="A300" s="3">
        <v>272</v>
      </c>
      <c r="B300" s="36"/>
      <c r="C300" s="32">
        <v>0.4</v>
      </c>
      <c r="D300" s="32">
        <v>0.1</v>
      </c>
      <c r="E300" s="32">
        <v>0.30000000000000004</v>
      </c>
      <c r="F300" s="33">
        <v>15</v>
      </c>
      <c r="G300" s="34">
        <v>61.5</v>
      </c>
      <c r="H300" s="34">
        <v>27.4</v>
      </c>
      <c r="I300" s="34">
        <v>60.5</v>
      </c>
      <c r="J300" s="34">
        <v>59.8</v>
      </c>
      <c r="K300" s="34">
        <v>56.2</v>
      </c>
      <c r="L300" s="38"/>
      <c r="M300" s="38"/>
      <c r="N300" s="38"/>
      <c r="O300" s="38"/>
      <c r="P300" s="38"/>
      <c r="Q300" s="38"/>
      <c r="R300" s="35"/>
      <c r="S300" s="35"/>
      <c r="T300" s="35"/>
      <c r="U300" s="35"/>
      <c r="V300" s="35"/>
      <c r="W300" s="35"/>
      <c r="X300" s="35"/>
      <c r="Y300" s="35"/>
    </row>
    <row r="301" spans="1:25" x14ac:dyDescent="0.25">
      <c r="A301" s="3">
        <v>273</v>
      </c>
      <c r="B301" s="36"/>
      <c r="C301" s="32">
        <v>0.4</v>
      </c>
      <c r="D301" s="32">
        <v>0.1</v>
      </c>
      <c r="E301" s="32">
        <v>0.30000000000000004</v>
      </c>
      <c r="F301" s="33">
        <v>15</v>
      </c>
      <c r="G301" s="34">
        <v>61.5</v>
      </c>
      <c r="H301" s="34">
        <v>27.2</v>
      </c>
      <c r="I301" s="34">
        <v>60.3</v>
      </c>
      <c r="J301" s="34">
        <v>59.8</v>
      </c>
      <c r="K301" s="34">
        <v>56.15</v>
      </c>
      <c r="L301" s="38"/>
      <c r="M301" s="38"/>
      <c r="N301" s="38"/>
      <c r="O301" s="38"/>
      <c r="P301" s="38"/>
      <c r="Q301" s="38"/>
      <c r="R301" s="35"/>
      <c r="S301" s="35"/>
      <c r="T301" s="35"/>
      <c r="U301" s="35"/>
      <c r="V301" s="35"/>
      <c r="W301" s="35"/>
      <c r="X301" s="35"/>
      <c r="Y301" s="35"/>
    </row>
    <row r="302" spans="1:25" x14ac:dyDescent="0.25">
      <c r="A302" s="3">
        <v>274</v>
      </c>
      <c r="B302" s="36"/>
      <c r="C302" s="32">
        <v>0.4</v>
      </c>
      <c r="D302" s="32">
        <v>0.1</v>
      </c>
      <c r="E302" s="32">
        <v>0.30000000000000004</v>
      </c>
      <c r="F302" s="33">
        <v>15</v>
      </c>
      <c r="G302" s="34">
        <v>60.95</v>
      </c>
      <c r="H302" s="34">
        <v>27.2</v>
      </c>
      <c r="I302" s="34">
        <v>60.1</v>
      </c>
      <c r="J302" s="34">
        <v>59.4</v>
      </c>
      <c r="K302" s="34">
        <v>56.1</v>
      </c>
      <c r="L302" s="38"/>
      <c r="M302" s="38"/>
      <c r="N302" s="38"/>
      <c r="O302" s="38"/>
      <c r="P302" s="38"/>
      <c r="Q302" s="38"/>
      <c r="R302" s="35"/>
      <c r="S302" s="35"/>
      <c r="T302" s="35"/>
      <c r="U302" s="35"/>
      <c r="V302" s="35"/>
      <c r="W302" s="35"/>
      <c r="X302" s="35"/>
      <c r="Y302" s="35"/>
    </row>
    <row r="303" spans="1:25" x14ac:dyDescent="0.25">
      <c r="A303" s="3">
        <v>275</v>
      </c>
      <c r="B303" s="36"/>
      <c r="C303" s="32">
        <v>0.4</v>
      </c>
      <c r="D303" s="32">
        <v>0.1</v>
      </c>
      <c r="E303" s="32">
        <v>0.30000000000000004</v>
      </c>
      <c r="F303" s="33">
        <v>15</v>
      </c>
      <c r="G303" s="34">
        <v>61.6</v>
      </c>
      <c r="H303" s="34">
        <v>27.3</v>
      </c>
      <c r="I303" s="34">
        <v>60.4</v>
      </c>
      <c r="J303" s="34">
        <v>59.9</v>
      </c>
      <c r="K303" s="34">
        <v>56.3</v>
      </c>
      <c r="L303" s="38"/>
      <c r="M303" s="38"/>
      <c r="N303" s="38"/>
      <c r="O303" s="38"/>
      <c r="P303" s="38"/>
      <c r="Q303" s="38"/>
      <c r="R303" s="35"/>
      <c r="S303" s="35"/>
      <c r="T303" s="35"/>
      <c r="U303" s="35"/>
      <c r="V303" s="35"/>
      <c r="W303" s="35"/>
      <c r="X303" s="35"/>
      <c r="Y303" s="35"/>
    </row>
    <row r="304" spans="1:25" x14ac:dyDescent="0.25">
      <c r="A304" s="3">
        <v>276</v>
      </c>
      <c r="B304" s="36"/>
      <c r="C304" s="32">
        <v>0.4</v>
      </c>
      <c r="D304" s="32">
        <v>0.1</v>
      </c>
      <c r="E304" s="32">
        <v>0.30000000000000004</v>
      </c>
      <c r="F304" s="33">
        <v>15</v>
      </c>
      <c r="G304" s="34">
        <v>61.6</v>
      </c>
      <c r="H304" s="34">
        <v>27.3</v>
      </c>
      <c r="I304" s="34">
        <v>60.4</v>
      </c>
      <c r="J304" s="34">
        <v>59.7</v>
      </c>
      <c r="K304" s="34">
        <v>56.25</v>
      </c>
      <c r="L304" s="38"/>
      <c r="M304" s="38"/>
      <c r="N304" s="38"/>
      <c r="O304" s="38"/>
      <c r="P304" s="38"/>
      <c r="Q304" s="38"/>
      <c r="R304" s="35"/>
      <c r="S304" s="35"/>
      <c r="T304" s="35"/>
      <c r="U304" s="35"/>
      <c r="V304" s="35"/>
      <c r="W304" s="35"/>
      <c r="X304" s="35"/>
      <c r="Y304" s="35"/>
    </row>
    <row r="305" spans="1:25" x14ac:dyDescent="0.25">
      <c r="A305" s="3">
        <v>277</v>
      </c>
      <c r="B305" s="36"/>
      <c r="C305" s="32">
        <v>0.4</v>
      </c>
      <c r="D305" s="32">
        <v>0.1</v>
      </c>
      <c r="E305" s="32">
        <v>0.30000000000000004</v>
      </c>
      <c r="F305" s="33">
        <v>15</v>
      </c>
      <c r="G305" s="34">
        <v>61.2</v>
      </c>
      <c r="H305" s="34">
        <v>27.3</v>
      </c>
      <c r="I305" s="34">
        <v>60.2</v>
      </c>
      <c r="J305" s="34">
        <v>59.5</v>
      </c>
      <c r="K305" s="34">
        <v>56.25</v>
      </c>
      <c r="L305" s="38"/>
      <c r="M305" s="38"/>
      <c r="N305" s="38"/>
      <c r="O305" s="38"/>
      <c r="P305" s="38"/>
      <c r="Q305" s="38"/>
      <c r="R305" s="35"/>
      <c r="S305" s="35"/>
      <c r="T305" s="35"/>
      <c r="U305" s="35"/>
      <c r="V305" s="35"/>
      <c r="W305" s="35"/>
      <c r="X305" s="35"/>
      <c r="Y305" s="35"/>
    </row>
    <row r="306" spans="1:25" x14ac:dyDescent="0.25">
      <c r="A306" s="3">
        <v>278</v>
      </c>
      <c r="B306" s="36"/>
      <c r="C306" s="32">
        <v>0.4</v>
      </c>
      <c r="D306" s="32">
        <v>0.1</v>
      </c>
      <c r="E306" s="32">
        <v>0.30000000000000004</v>
      </c>
      <c r="F306" s="33">
        <v>15</v>
      </c>
      <c r="G306" s="34">
        <v>61.6</v>
      </c>
      <c r="H306" s="34">
        <v>27.3</v>
      </c>
      <c r="I306" s="34">
        <v>60.4</v>
      </c>
      <c r="J306" s="34">
        <v>59.7</v>
      </c>
      <c r="K306" s="34">
        <v>56.150000000000006</v>
      </c>
      <c r="L306" s="38"/>
      <c r="M306" s="38"/>
      <c r="N306" s="38"/>
      <c r="O306" s="38"/>
      <c r="P306" s="38"/>
      <c r="Q306" s="38"/>
      <c r="R306" s="35"/>
      <c r="S306" s="35"/>
      <c r="T306" s="35"/>
      <c r="U306" s="35"/>
      <c r="V306" s="35"/>
      <c r="W306" s="35"/>
      <c r="X306" s="35"/>
      <c r="Y306" s="35"/>
    </row>
    <row r="307" spans="1:25" x14ac:dyDescent="0.25">
      <c r="A307" s="3">
        <v>279</v>
      </c>
      <c r="B307" s="36"/>
      <c r="C307" s="32">
        <v>0.4</v>
      </c>
      <c r="D307" s="32">
        <v>0.1</v>
      </c>
      <c r="E307" s="32">
        <v>0.30000000000000004</v>
      </c>
      <c r="F307" s="33">
        <v>15</v>
      </c>
      <c r="G307" s="34">
        <v>61.650000000000006</v>
      </c>
      <c r="H307" s="34">
        <v>27.3</v>
      </c>
      <c r="I307" s="34">
        <v>60.6</v>
      </c>
      <c r="J307" s="34">
        <v>59.9</v>
      </c>
      <c r="K307" s="34">
        <v>56.2</v>
      </c>
      <c r="L307" s="38"/>
      <c r="M307" s="38"/>
      <c r="N307" s="38"/>
      <c r="O307" s="38"/>
      <c r="P307" s="38"/>
      <c r="Q307" s="38"/>
      <c r="R307" s="35"/>
      <c r="S307" s="35"/>
      <c r="T307" s="35"/>
      <c r="U307" s="35"/>
      <c r="V307" s="35"/>
      <c r="W307" s="35"/>
      <c r="X307" s="35"/>
      <c r="Y307" s="35"/>
    </row>
    <row r="308" spans="1:25" x14ac:dyDescent="0.25">
      <c r="A308" s="3">
        <v>280</v>
      </c>
      <c r="B308" s="36"/>
      <c r="C308" s="32">
        <v>0.4</v>
      </c>
      <c r="D308" s="32">
        <v>0.1</v>
      </c>
      <c r="E308" s="32">
        <v>0.30000000000000004</v>
      </c>
      <c r="F308" s="33">
        <v>15</v>
      </c>
      <c r="G308" s="34">
        <v>61.2</v>
      </c>
      <c r="H308" s="34">
        <v>27.3</v>
      </c>
      <c r="I308" s="34">
        <v>60.4</v>
      </c>
      <c r="J308" s="34">
        <v>59.5</v>
      </c>
      <c r="K308" s="34">
        <v>56.25</v>
      </c>
      <c r="L308" s="38"/>
      <c r="M308" s="38"/>
      <c r="N308" s="38"/>
      <c r="O308" s="38"/>
      <c r="P308" s="38"/>
      <c r="Q308" s="38"/>
      <c r="R308" s="35"/>
      <c r="S308" s="35"/>
      <c r="T308" s="35"/>
      <c r="U308" s="35"/>
      <c r="V308" s="35"/>
      <c r="W308" s="35"/>
      <c r="X308" s="35"/>
      <c r="Y308" s="35"/>
    </row>
    <row r="309" spans="1:25" x14ac:dyDescent="0.25">
      <c r="A309" s="36"/>
      <c r="B309" s="36"/>
      <c r="C309" s="39"/>
      <c r="D309" s="39"/>
      <c r="E309" s="39"/>
      <c r="F309" s="37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5"/>
      <c r="S309" s="35"/>
      <c r="T309" s="35"/>
      <c r="U309" s="35"/>
      <c r="V309" s="35"/>
      <c r="W309" s="35"/>
      <c r="X309" s="35"/>
      <c r="Y309" s="35"/>
    </row>
    <row r="310" spans="1:25" x14ac:dyDescent="0.25">
      <c r="A310" s="3">
        <v>281</v>
      </c>
      <c r="B310" s="3" t="s">
        <v>75</v>
      </c>
      <c r="C310" s="32">
        <v>0.24500000000000002</v>
      </c>
      <c r="D310" s="32">
        <v>9.5000000000000001E-2</v>
      </c>
      <c r="E310" s="32">
        <v>0.15000000000000002</v>
      </c>
      <c r="F310" s="33">
        <v>10</v>
      </c>
      <c r="G310" s="34">
        <v>61.35</v>
      </c>
      <c r="H310" s="34">
        <v>27.5</v>
      </c>
      <c r="I310" s="34">
        <v>60.2</v>
      </c>
      <c r="J310" s="34">
        <v>59.5</v>
      </c>
      <c r="K310" s="34">
        <v>55.55</v>
      </c>
      <c r="L310" s="38"/>
      <c r="M310" s="38"/>
      <c r="N310" s="38"/>
      <c r="O310" s="38"/>
      <c r="P310" s="38"/>
      <c r="Q310" s="38"/>
      <c r="R310" s="35"/>
      <c r="S310" s="35"/>
      <c r="T310" s="35"/>
      <c r="U310" s="35"/>
      <c r="V310" s="35"/>
      <c r="W310" s="35"/>
      <c r="X310" s="35"/>
      <c r="Y310" s="35"/>
    </row>
    <row r="311" spans="1:25" x14ac:dyDescent="0.25">
      <c r="A311" s="3">
        <v>282</v>
      </c>
      <c r="B311" s="36"/>
      <c r="C311" s="32">
        <v>0.24500000000000002</v>
      </c>
      <c r="D311" s="32">
        <v>9.5000000000000001E-2</v>
      </c>
      <c r="E311" s="32">
        <v>0.15000000000000002</v>
      </c>
      <c r="F311" s="33">
        <v>10</v>
      </c>
      <c r="G311" s="34">
        <v>61.3</v>
      </c>
      <c r="H311" s="34">
        <v>27.4</v>
      </c>
      <c r="I311" s="34">
        <v>60.1</v>
      </c>
      <c r="J311" s="34">
        <v>59.6</v>
      </c>
      <c r="K311" s="34">
        <v>55.5</v>
      </c>
      <c r="L311" s="38"/>
      <c r="M311" s="38"/>
      <c r="N311" s="38"/>
      <c r="O311" s="38"/>
      <c r="P311" s="38"/>
      <c r="Q311" s="38"/>
      <c r="R311" s="35"/>
      <c r="S311" s="35"/>
      <c r="T311" s="35"/>
      <c r="U311" s="35"/>
      <c r="V311" s="35"/>
      <c r="W311" s="35"/>
      <c r="X311" s="35"/>
      <c r="Y311" s="35"/>
    </row>
    <row r="312" spans="1:25" x14ac:dyDescent="0.25">
      <c r="A312" s="3">
        <v>283</v>
      </c>
      <c r="B312" s="36"/>
      <c r="C312" s="32">
        <v>0.24500000000000002</v>
      </c>
      <c r="D312" s="32">
        <v>9.5000000000000001E-2</v>
      </c>
      <c r="E312" s="32">
        <v>0.15000000000000002</v>
      </c>
      <c r="F312" s="33">
        <v>10</v>
      </c>
      <c r="G312" s="34">
        <v>61.25</v>
      </c>
      <c r="H312" s="34">
        <v>27.4</v>
      </c>
      <c r="I312" s="34">
        <v>60.1</v>
      </c>
      <c r="J312" s="34">
        <v>59.6</v>
      </c>
      <c r="K312" s="34">
        <v>55.4</v>
      </c>
      <c r="L312" s="38"/>
      <c r="M312" s="38"/>
      <c r="N312" s="38"/>
      <c r="O312" s="38"/>
      <c r="P312" s="38"/>
      <c r="Q312" s="38"/>
      <c r="R312" s="35"/>
      <c r="S312" s="35"/>
      <c r="T312" s="35"/>
      <c r="U312" s="35"/>
      <c r="V312" s="35"/>
      <c r="W312" s="35"/>
      <c r="X312" s="35"/>
      <c r="Y312" s="35"/>
    </row>
    <row r="313" spans="1:25" x14ac:dyDescent="0.25">
      <c r="A313" s="3">
        <v>284</v>
      </c>
      <c r="B313" s="36"/>
      <c r="C313" s="32">
        <v>0.24500000000000002</v>
      </c>
      <c r="D313" s="32">
        <v>9.5000000000000001E-2</v>
      </c>
      <c r="E313" s="32">
        <v>0.15000000000000002</v>
      </c>
      <c r="F313" s="33">
        <v>10</v>
      </c>
      <c r="G313" s="34">
        <v>61.2</v>
      </c>
      <c r="H313" s="34">
        <v>27.4</v>
      </c>
      <c r="I313" s="34">
        <v>60.1</v>
      </c>
      <c r="J313" s="34">
        <v>59.6</v>
      </c>
      <c r="K313" s="34">
        <v>55.6</v>
      </c>
      <c r="L313" s="38"/>
      <c r="M313" s="38"/>
      <c r="N313" s="38"/>
      <c r="O313" s="38"/>
      <c r="P313" s="38"/>
      <c r="Q313" s="38"/>
      <c r="R313" s="35"/>
      <c r="S313" s="35"/>
      <c r="T313" s="35"/>
      <c r="U313" s="35"/>
      <c r="V313" s="35"/>
      <c r="W313" s="35"/>
      <c r="X313" s="35"/>
      <c r="Y313" s="35"/>
    </row>
    <row r="314" spans="1:25" x14ac:dyDescent="0.25">
      <c r="A314" s="3">
        <v>285</v>
      </c>
      <c r="B314" s="36"/>
      <c r="C314" s="32">
        <v>0.24500000000000002</v>
      </c>
      <c r="D314" s="32">
        <v>9.5000000000000001E-2</v>
      </c>
      <c r="E314" s="32">
        <v>0.15000000000000002</v>
      </c>
      <c r="F314" s="33">
        <v>10</v>
      </c>
      <c r="G314" s="34">
        <v>61.400000000000006</v>
      </c>
      <c r="H314" s="34">
        <v>27.4</v>
      </c>
      <c r="I314" s="34">
        <v>60.1</v>
      </c>
      <c r="J314" s="34">
        <v>59.6</v>
      </c>
      <c r="K314" s="34">
        <v>55.650000000000006</v>
      </c>
      <c r="L314" s="38"/>
      <c r="M314" s="38"/>
      <c r="N314" s="38"/>
      <c r="O314" s="38"/>
      <c r="P314" s="38"/>
      <c r="Q314" s="38"/>
      <c r="R314" s="35"/>
      <c r="S314" s="35"/>
      <c r="T314" s="35"/>
      <c r="U314" s="35"/>
      <c r="V314" s="35"/>
      <c r="W314" s="35"/>
      <c r="X314" s="35"/>
      <c r="Y314" s="35"/>
    </row>
    <row r="315" spans="1:25" x14ac:dyDescent="0.25">
      <c r="A315" s="3">
        <v>286</v>
      </c>
      <c r="B315" s="36"/>
      <c r="C315" s="32">
        <v>0.24500000000000002</v>
      </c>
      <c r="D315" s="32">
        <v>9.5000000000000001E-2</v>
      </c>
      <c r="E315" s="32">
        <v>0.15000000000000002</v>
      </c>
      <c r="F315" s="33">
        <v>10</v>
      </c>
      <c r="G315" s="34">
        <v>61.3</v>
      </c>
      <c r="H315" s="34">
        <v>27.45</v>
      </c>
      <c r="I315" s="34">
        <v>60.3</v>
      </c>
      <c r="J315" s="34">
        <v>59.6</v>
      </c>
      <c r="K315" s="34">
        <v>55.75</v>
      </c>
      <c r="L315" s="38"/>
      <c r="M315" s="38"/>
      <c r="N315" s="38"/>
      <c r="O315" s="38"/>
      <c r="P315" s="38"/>
      <c r="Q315" s="38"/>
      <c r="R315" s="35"/>
      <c r="S315" s="35"/>
      <c r="T315" s="35"/>
      <c r="U315" s="35"/>
      <c r="V315" s="35"/>
      <c r="W315" s="35"/>
      <c r="X315" s="35"/>
      <c r="Y315" s="35"/>
    </row>
    <row r="316" spans="1:25" x14ac:dyDescent="0.25">
      <c r="A316" s="3">
        <v>287</v>
      </c>
      <c r="B316" s="36"/>
      <c r="C316" s="32">
        <v>0.24500000000000002</v>
      </c>
      <c r="D316" s="32">
        <v>9.5000000000000001E-2</v>
      </c>
      <c r="E316" s="32">
        <v>0.15000000000000002</v>
      </c>
      <c r="F316" s="33">
        <v>10</v>
      </c>
      <c r="G316" s="34">
        <v>61.3</v>
      </c>
      <c r="H316" s="34">
        <v>27.45</v>
      </c>
      <c r="I316" s="34">
        <v>60.3</v>
      </c>
      <c r="J316" s="34">
        <v>59.6</v>
      </c>
      <c r="K316" s="34">
        <v>55.650000000000006</v>
      </c>
      <c r="L316" s="38"/>
      <c r="M316" s="38"/>
      <c r="N316" s="38"/>
      <c r="O316" s="38"/>
      <c r="P316" s="38"/>
      <c r="Q316" s="38"/>
      <c r="R316" s="35"/>
      <c r="S316" s="35"/>
      <c r="T316" s="35"/>
      <c r="U316" s="35"/>
      <c r="V316" s="35"/>
      <c r="W316" s="35"/>
      <c r="X316" s="35"/>
      <c r="Y316" s="35"/>
    </row>
    <row r="317" spans="1:25" x14ac:dyDescent="0.25">
      <c r="A317" s="3">
        <v>288</v>
      </c>
      <c r="B317" s="36"/>
      <c r="C317" s="32">
        <v>0.24500000000000002</v>
      </c>
      <c r="D317" s="32">
        <v>9.5000000000000001E-2</v>
      </c>
      <c r="E317" s="32">
        <v>0.15000000000000002</v>
      </c>
      <c r="F317" s="33">
        <v>10</v>
      </c>
      <c r="G317" s="34">
        <v>61.25</v>
      </c>
      <c r="H317" s="34">
        <v>27.45</v>
      </c>
      <c r="I317" s="34">
        <v>60.3</v>
      </c>
      <c r="J317" s="34">
        <v>59.6</v>
      </c>
      <c r="K317" s="34">
        <v>55.650000000000006</v>
      </c>
      <c r="L317" s="38"/>
      <c r="M317" s="38"/>
      <c r="N317" s="38"/>
      <c r="O317" s="38"/>
      <c r="P317" s="38"/>
      <c r="Q317" s="38"/>
      <c r="R317" s="35"/>
      <c r="S317" s="35"/>
      <c r="T317" s="35"/>
      <c r="U317" s="35"/>
      <c r="V317" s="35"/>
      <c r="W317" s="35"/>
      <c r="X317" s="35"/>
      <c r="Y317" s="35"/>
    </row>
    <row r="318" spans="1:25" x14ac:dyDescent="0.25">
      <c r="A318" s="3">
        <v>289</v>
      </c>
      <c r="B318" s="36"/>
      <c r="C318" s="32">
        <v>0.24500000000000002</v>
      </c>
      <c r="D318" s="32">
        <v>9.5000000000000001E-2</v>
      </c>
      <c r="E318" s="32">
        <v>0.15000000000000002</v>
      </c>
      <c r="F318" s="33">
        <v>10</v>
      </c>
      <c r="G318" s="34">
        <v>61.150000000000006</v>
      </c>
      <c r="H318" s="34">
        <v>27.4</v>
      </c>
      <c r="I318" s="34">
        <v>60.3</v>
      </c>
      <c r="J318" s="34">
        <v>59.6</v>
      </c>
      <c r="K318" s="34">
        <v>55.95</v>
      </c>
      <c r="L318" s="38"/>
      <c r="M318" s="38"/>
      <c r="N318" s="38"/>
      <c r="O318" s="38"/>
      <c r="P318" s="38"/>
      <c r="Q318" s="38"/>
      <c r="R318" s="35"/>
      <c r="S318" s="35"/>
      <c r="T318" s="35"/>
      <c r="U318" s="35"/>
      <c r="V318" s="35"/>
      <c r="W318" s="35"/>
      <c r="X318" s="35"/>
      <c r="Y318" s="35"/>
    </row>
    <row r="319" spans="1:25" x14ac:dyDescent="0.25">
      <c r="A319" s="3">
        <v>290</v>
      </c>
      <c r="B319" s="36"/>
      <c r="C319" s="32">
        <v>0.24500000000000002</v>
      </c>
      <c r="D319" s="32">
        <v>9.5000000000000001E-2</v>
      </c>
      <c r="E319" s="32">
        <v>0.15000000000000002</v>
      </c>
      <c r="F319" s="33">
        <v>10</v>
      </c>
      <c r="G319" s="34">
        <v>61.2</v>
      </c>
      <c r="H319" s="34">
        <v>27.4</v>
      </c>
      <c r="I319" s="34">
        <v>60.3</v>
      </c>
      <c r="J319" s="34">
        <v>59.6</v>
      </c>
      <c r="K319" s="34">
        <v>56.15</v>
      </c>
      <c r="L319" s="38"/>
      <c r="M319" s="38"/>
      <c r="N319" s="38"/>
      <c r="O319" s="38"/>
      <c r="P319" s="38"/>
      <c r="Q319" s="38"/>
      <c r="R319" s="35"/>
      <c r="S319" s="35"/>
      <c r="T319" s="35"/>
      <c r="U319" s="35"/>
      <c r="V319" s="35"/>
      <c r="W319" s="35"/>
      <c r="X319" s="35"/>
      <c r="Y319" s="35"/>
    </row>
    <row r="320" spans="1:25" x14ac:dyDescent="0.25">
      <c r="A320" s="36"/>
      <c r="B320" s="36"/>
      <c r="C320" s="36"/>
      <c r="D320" s="36"/>
      <c r="E320" s="36"/>
      <c r="F320" s="37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5"/>
      <c r="S320" s="35"/>
      <c r="T320" s="35"/>
      <c r="U320" s="35"/>
      <c r="V320" s="35"/>
      <c r="W320" s="35"/>
      <c r="X320" s="35"/>
      <c r="Y320" s="35"/>
    </row>
    <row r="321" spans="1:25" x14ac:dyDescent="0.25">
      <c r="A321" s="3">
        <v>291</v>
      </c>
      <c r="B321" s="3" t="s">
        <v>76</v>
      </c>
      <c r="C321" s="32">
        <v>0.21249999999999999</v>
      </c>
      <c r="D321" s="32">
        <v>0.1</v>
      </c>
      <c r="E321" s="32">
        <v>0.11249999999999999</v>
      </c>
      <c r="F321" s="33">
        <v>5</v>
      </c>
      <c r="G321" s="34">
        <v>60.75</v>
      </c>
      <c r="H321" s="34">
        <v>27.4</v>
      </c>
      <c r="I321" s="34">
        <v>60</v>
      </c>
      <c r="J321" s="34">
        <v>59.4</v>
      </c>
      <c r="K321" s="34">
        <v>55.4</v>
      </c>
      <c r="L321" s="38"/>
      <c r="M321" s="38"/>
      <c r="N321" s="38"/>
      <c r="O321" s="38"/>
      <c r="P321" s="38"/>
      <c r="Q321" s="38"/>
      <c r="R321" s="35"/>
      <c r="S321" s="35"/>
      <c r="T321" s="35"/>
      <c r="U321" s="35"/>
      <c r="V321" s="35"/>
      <c r="W321" s="35"/>
      <c r="X321" s="35"/>
      <c r="Y321" s="35"/>
    </row>
    <row r="322" spans="1:25" x14ac:dyDescent="0.25">
      <c r="A322" s="3">
        <v>292</v>
      </c>
      <c r="B322" s="36"/>
      <c r="C322" s="32">
        <v>0.21249999999999999</v>
      </c>
      <c r="D322" s="32">
        <v>0.1</v>
      </c>
      <c r="E322" s="32">
        <v>0.11249999999999999</v>
      </c>
      <c r="F322" s="33">
        <v>5</v>
      </c>
      <c r="G322" s="34">
        <v>60.95</v>
      </c>
      <c r="H322" s="34">
        <v>27.4</v>
      </c>
      <c r="I322" s="34">
        <v>60</v>
      </c>
      <c r="J322" s="34">
        <v>59.4</v>
      </c>
      <c r="K322" s="34">
        <v>55.4</v>
      </c>
      <c r="L322" s="38"/>
      <c r="M322" s="38"/>
      <c r="N322" s="38"/>
      <c r="O322" s="38"/>
      <c r="P322" s="38"/>
      <c r="Q322" s="38"/>
      <c r="R322" s="35"/>
      <c r="S322" s="35"/>
      <c r="T322" s="35"/>
      <c r="U322" s="35"/>
      <c r="V322" s="35"/>
      <c r="W322" s="35"/>
      <c r="X322" s="35"/>
      <c r="Y322" s="35"/>
    </row>
    <row r="323" spans="1:25" x14ac:dyDescent="0.25">
      <c r="A323" s="3">
        <v>293</v>
      </c>
      <c r="B323" s="36"/>
      <c r="C323" s="32">
        <v>0.21249999999999999</v>
      </c>
      <c r="D323" s="32">
        <v>0.1</v>
      </c>
      <c r="E323" s="32">
        <v>0.11249999999999999</v>
      </c>
      <c r="F323" s="33">
        <v>5</v>
      </c>
      <c r="G323" s="34">
        <v>60.75</v>
      </c>
      <c r="H323" s="34">
        <v>27.4</v>
      </c>
      <c r="I323" s="34">
        <v>60</v>
      </c>
      <c r="J323" s="34">
        <v>59.4</v>
      </c>
      <c r="K323" s="34">
        <v>55.4</v>
      </c>
      <c r="L323" s="38"/>
      <c r="M323" s="38"/>
      <c r="N323" s="38"/>
      <c r="O323" s="38"/>
      <c r="P323" s="38"/>
      <c r="Q323" s="38"/>
      <c r="R323" s="35"/>
      <c r="S323" s="35"/>
      <c r="T323" s="35"/>
      <c r="U323" s="35"/>
      <c r="V323" s="35"/>
      <c r="W323" s="35"/>
      <c r="X323" s="35"/>
      <c r="Y323" s="35"/>
    </row>
    <row r="324" spans="1:25" x14ac:dyDescent="0.25">
      <c r="A324" s="3">
        <v>294</v>
      </c>
      <c r="B324" s="36"/>
      <c r="C324" s="32">
        <v>0.21249999999999999</v>
      </c>
      <c r="D324" s="32">
        <v>0.1</v>
      </c>
      <c r="E324" s="32">
        <v>0.11249999999999999</v>
      </c>
      <c r="F324" s="33">
        <v>5</v>
      </c>
      <c r="G324" s="34">
        <v>61.1</v>
      </c>
      <c r="H324" s="34">
        <v>27.4</v>
      </c>
      <c r="I324" s="34">
        <v>60</v>
      </c>
      <c r="J324" s="34">
        <v>59.4</v>
      </c>
      <c r="K324" s="34">
        <v>55.4</v>
      </c>
      <c r="L324" s="38"/>
      <c r="M324" s="38"/>
      <c r="N324" s="38"/>
      <c r="O324" s="38"/>
      <c r="P324" s="38"/>
      <c r="Q324" s="38"/>
      <c r="R324" s="35"/>
      <c r="S324" s="35"/>
      <c r="T324" s="35"/>
      <c r="U324" s="35"/>
      <c r="V324" s="35"/>
      <c r="W324" s="35"/>
      <c r="X324" s="35"/>
      <c r="Y324" s="35"/>
    </row>
    <row r="325" spans="1:25" x14ac:dyDescent="0.25">
      <c r="A325" s="3">
        <v>295</v>
      </c>
      <c r="B325" s="36"/>
      <c r="C325" s="32">
        <v>0.21249999999999999</v>
      </c>
      <c r="D325" s="32">
        <v>0.1</v>
      </c>
      <c r="E325" s="32">
        <v>0.11249999999999999</v>
      </c>
      <c r="F325" s="33">
        <v>5</v>
      </c>
      <c r="G325" s="34">
        <v>61.2</v>
      </c>
      <c r="H325" s="34">
        <v>27.45</v>
      </c>
      <c r="I325" s="34">
        <v>60</v>
      </c>
      <c r="J325" s="34">
        <v>59.4</v>
      </c>
      <c r="K325" s="34">
        <v>55.4</v>
      </c>
      <c r="L325" s="38"/>
      <c r="M325" s="38"/>
      <c r="N325" s="38"/>
      <c r="O325" s="38"/>
      <c r="P325" s="38"/>
      <c r="Q325" s="38"/>
      <c r="R325" s="35"/>
      <c r="S325" s="35"/>
      <c r="T325" s="35"/>
      <c r="U325" s="35"/>
      <c r="V325" s="35"/>
      <c r="W325" s="35"/>
      <c r="X325" s="35"/>
      <c r="Y325" s="35"/>
    </row>
    <row r="326" spans="1:25" x14ac:dyDescent="0.25">
      <c r="A326" s="3">
        <v>296</v>
      </c>
      <c r="B326" s="36"/>
      <c r="C326" s="32">
        <v>0.21249999999999999</v>
      </c>
      <c r="D326" s="32">
        <v>0.1</v>
      </c>
      <c r="E326" s="32">
        <v>0.11249999999999999</v>
      </c>
      <c r="F326" s="33">
        <v>5</v>
      </c>
      <c r="G326" s="34">
        <v>60.95</v>
      </c>
      <c r="H326" s="34">
        <v>27.45</v>
      </c>
      <c r="I326" s="34">
        <v>60</v>
      </c>
      <c r="J326" s="34">
        <v>59.4</v>
      </c>
      <c r="K326" s="34">
        <v>55.5</v>
      </c>
      <c r="L326" s="38"/>
      <c r="M326" s="38"/>
      <c r="N326" s="38"/>
      <c r="O326" s="38"/>
      <c r="P326" s="38"/>
      <c r="Q326" s="38"/>
      <c r="R326" s="35"/>
      <c r="S326" s="35"/>
      <c r="T326" s="35"/>
      <c r="U326" s="35"/>
      <c r="V326" s="35"/>
      <c r="W326" s="35"/>
      <c r="X326" s="35"/>
      <c r="Y326" s="35"/>
    </row>
    <row r="327" spans="1:25" x14ac:dyDescent="0.25">
      <c r="A327" s="3">
        <v>297</v>
      </c>
      <c r="B327" s="36"/>
      <c r="C327" s="32">
        <v>0.21249999999999999</v>
      </c>
      <c r="D327" s="32">
        <v>0.1</v>
      </c>
      <c r="E327" s="32">
        <v>0.11249999999999999</v>
      </c>
      <c r="F327" s="33">
        <v>5</v>
      </c>
      <c r="G327" s="34">
        <v>61</v>
      </c>
      <c r="H327" s="34">
        <v>27.45</v>
      </c>
      <c r="I327" s="34">
        <v>60</v>
      </c>
      <c r="J327" s="34">
        <v>59.4</v>
      </c>
      <c r="K327" s="34">
        <v>55.5</v>
      </c>
      <c r="L327" s="38"/>
      <c r="M327" s="38"/>
      <c r="N327" s="38"/>
      <c r="O327" s="38"/>
      <c r="P327" s="38"/>
      <c r="Q327" s="38"/>
      <c r="R327" s="35"/>
      <c r="S327" s="35"/>
      <c r="T327" s="35"/>
      <c r="U327" s="35"/>
      <c r="V327" s="35"/>
      <c r="W327" s="35"/>
      <c r="X327" s="35"/>
      <c r="Y327" s="35"/>
    </row>
    <row r="328" spans="1:25" x14ac:dyDescent="0.25">
      <c r="A328" s="3">
        <v>298</v>
      </c>
      <c r="B328" s="36"/>
      <c r="C328" s="32">
        <v>0.21249999999999999</v>
      </c>
      <c r="D328" s="32">
        <v>0.1</v>
      </c>
      <c r="E328" s="32">
        <v>0.11249999999999999</v>
      </c>
      <c r="F328" s="33">
        <v>5</v>
      </c>
      <c r="G328" s="34">
        <v>61.55</v>
      </c>
      <c r="H328" s="34">
        <v>27.55</v>
      </c>
      <c r="I328" s="34">
        <v>60.1</v>
      </c>
      <c r="J328" s="34">
        <v>59.5</v>
      </c>
      <c r="K328" s="34">
        <v>55.5</v>
      </c>
      <c r="L328" s="38"/>
      <c r="M328" s="38"/>
      <c r="N328" s="38"/>
      <c r="O328" s="38"/>
      <c r="P328" s="38"/>
      <c r="Q328" s="38"/>
      <c r="R328" s="35"/>
      <c r="S328" s="35"/>
      <c r="T328" s="35"/>
      <c r="U328" s="35"/>
      <c r="V328" s="35"/>
      <c r="W328" s="35"/>
      <c r="X328" s="35"/>
      <c r="Y328" s="35"/>
    </row>
    <row r="329" spans="1:25" x14ac:dyDescent="0.25">
      <c r="A329" s="3">
        <v>299</v>
      </c>
      <c r="B329" s="36"/>
      <c r="C329" s="32">
        <v>0.21249999999999999</v>
      </c>
      <c r="D329" s="32">
        <v>0.1</v>
      </c>
      <c r="E329" s="32">
        <v>0.11249999999999999</v>
      </c>
      <c r="F329" s="33">
        <v>5</v>
      </c>
      <c r="G329" s="34">
        <v>60.85</v>
      </c>
      <c r="H329" s="34">
        <v>27.45</v>
      </c>
      <c r="I329" s="34">
        <v>60</v>
      </c>
      <c r="J329" s="34">
        <v>59.6</v>
      </c>
      <c r="K329" s="34">
        <v>55.5</v>
      </c>
      <c r="L329" s="38"/>
      <c r="M329" s="38"/>
      <c r="N329" s="38"/>
      <c r="O329" s="38"/>
      <c r="P329" s="38"/>
      <c r="Q329" s="38"/>
      <c r="R329" s="35"/>
      <c r="S329" s="35"/>
      <c r="T329" s="35"/>
      <c r="U329" s="35"/>
      <c r="V329" s="35"/>
      <c r="W329" s="35"/>
      <c r="X329" s="35"/>
      <c r="Y329" s="35"/>
    </row>
    <row r="330" spans="1:25" x14ac:dyDescent="0.25">
      <c r="A330" s="3">
        <v>300</v>
      </c>
      <c r="B330" s="36"/>
      <c r="C330" s="32">
        <v>0.21249999999999999</v>
      </c>
      <c r="D330" s="32">
        <v>0.1</v>
      </c>
      <c r="E330" s="32">
        <v>0.11249999999999999</v>
      </c>
      <c r="F330" s="33">
        <v>5</v>
      </c>
      <c r="G330" s="34">
        <v>60.95</v>
      </c>
      <c r="H330" s="34">
        <v>27.45</v>
      </c>
      <c r="I330" s="34">
        <v>60</v>
      </c>
      <c r="J330" s="34">
        <v>59.6</v>
      </c>
      <c r="K330" s="34">
        <v>55.4</v>
      </c>
      <c r="L330" s="38"/>
      <c r="M330" s="38"/>
      <c r="N330" s="38"/>
      <c r="O330" s="38"/>
      <c r="P330" s="38"/>
      <c r="Q330" s="38"/>
      <c r="R330" s="35"/>
      <c r="S330" s="35"/>
      <c r="T330" s="35"/>
      <c r="U330" s="35"/>
      <c r="V330" s="35"/>
      <c r="W330" s="35"/>
      <c r="X330" s="35"/>
      <c r="Y330" s="35"/>
    </row>
    <row r="331" spans="1:25" x14ac:dyDescent="0.25">
      <c r="A331" s="35"/>
      <c r="B331" s="35"/>
      <c r="C331" s="35"/>
      <c r="D331" s="35"/>
      <c r="E331" s="35"/>
      <c r="F331" s="42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331"/>
  <sheetViews>
    <sheetView workbookViewId="0">
      <pane xSplit="2" ySplit="1" topLeftCell="C23" activePane="bottomRight" state="frozen"/>
      <selection pane="topRight" activeCell="C1" sqref="C1"/>
      <selection pane="bottomLeft" activeCell="A2" sqref="A2"/>
      <selection pane="bottomRight" activeCell="F340" sqref="F340"/>
    </sheetView>
  </sheetViews>
  <sheetFormatPr defaultColWidth="12.6640625" defaultRowHeight="15.75" customHeight="1" x14ac:dyDescent="0.25"/>
  <cols>
    <col min="11" max="11" width="16.21875" customWidth="1"/>
    <col min="17" max="17" width="15.6640625" customWidth="1"/>
  </cols>
  <sheetData>
    <row r="1" spans="1:25" x14ac:dyDescent="0.25">
      <c r="A1" s="11" t="s">
        <v>0</v>
      </c>
      <c r="B1" s="11" t="s">
        <v>34</v>
      </c>
      <c r="C1" s="12" t="s">
        <v>79</v>
      </c>
      <c r="D1" s="12" t="s">
        <v>77</v>
      </c>
      <c r="E1" s="12" t="s">
        <v>78</v>
      </c>
      <c r="F1" s="13" t="s">
        <v>35</v>
      </c>
      <c r="G1" s="14" t="s">
        <v>36</v>
      </c>
      <c r="H1" s="14" t="s">
        <v>37</v>
      </c>
      <c r="I1" s="14" t="s">
        <v>38</v>
      </c>
      <c r="J1" s="14" t="s">
        <v>39</v>
      </c>
      <c r="K1" s="14" t="s">
        <v>40</v>
      </c>
      <c r="L1" s="14" t="s">
        <v>41</v>
      </c>
      <c r="M1" s="14" t="s">
        <v>42</v>
      </c>
      <c r="N1" s="14" t="s">
        <v>43</v>
      </c>
      <c r="O1" s="14" t="s">
        <v>44</v>
      </c>
      <c r="P1" s="14" t="s">
        <v>45</v>
      </c>
      <c r="Q1" s="14" t="s">
        <v>46</v>
      </c>
      <c r="R1" s="15"/>
      <c r="S1" s="15"/>
      <c r="T1" s="15"/>
      <c r="U1" s="15"/>
      <c r="V1" s="15"/>
      <c r="W1" s="15"/>
      <c r="X1" s="15"/>
      <c r="Y1" s="15"/>
    </row>
    <row r="2" spans="1:25" x14ac:dyDescent="0.25">
      <c r="A2" s="43">
        <v>1</v>
      </c>
      <c r="B2" s="43" t="s">
        <v>47</v>
      </c>
      <c r="C2" s="44">
        <v>0.375</v>
      </c>
      <c r="D2" s="44">
        <v>0.125</v>
      </c>
      <c r="E2" s="45">
        <f t="shared" ref="E2:E11" si="0">C2-D2</f>
        <v>0.25</v>
      </c>
      <c r="F2" s="46">
        <v>30</v>
      </c>
      <c r="G2" s="47">
        <v>51.2</v>
      </c>
      <c r="H2" s="47">
        <v>25.799999999999997</v>
      </c>
      <c r="I2" s="47">
        <v>50.5</v>
      </c>
      <c r="J2" s="47">
        <v>50.3</v>
      </c>
      <c r="K2" s="47">
        <v>47.5</v>
      </c>
      <c r="L2" s="47">
        <v>50.5</v>
      </c>
      <c r="M2" s="47">
        <v>50.1</v>
      </c>
      <c r="N2" s="47">
        <v>50</v>
      </c>
      <c r="O2" s="47">
        <v>50.5</v>
      </c>
      <c r="P2" s="47">
        <v>49.9</v>
      </c>
      <c r="Q2" s="47">
        <v>49.25</v>
      </c>
      <c r="R2" s="21"/>
      <c r="S2" s="21"/>
      <c r="T2" s="21"/>
      <c r="U2" s="21"/>
      <c r="V2" s="21"/>
      <c r="W2" s="21"/>
      <c r="X2" s="21"/>
      <c r="Y2" s="21"/>
    </row>
    <row r="3" spans="1:25" x14ac:dyDescent="0.25">
      <c r="A3" s="43">
        <v>2</v>
      </c>
      <c r="B3" s="40"/>
      <c r="C3" s="44">
        <v>0.375</v>
      </c>
      <c r="D3" s="44">
        <v>0.125</v>
      </c>
      <c r="E3" s="45">
        <f t="shared" si="0"/>
        <v>0.25</v>
      </c>
      <c r="F3" s="46">
        <v>30</v>
      </c>
      <c r="G3" s="47">
        <v>51.2</v>
      </c>
      <c r="H3" s="47">
        <v>25.799999999999997</v>
      </c>
      <c r="I3" s="47">
        <v>50.3</v>
      </c>
      <c r="J3" s="47">
        <v>50.1</v>
      </c>
      <c r="K3" s="47">
        <v>47.5</v>
      </c>
      <c r="L3" s="47">
        <v>50.5</v>
      </c>
      <c r="M3" s="47">
        <v>49.9</v>
      </c>
      <c r="N3" s="47">
        <v>50</v>
      </c>
      <c r="O3" s="47">
        <v>50.5</v>
      </c>
      <c r="P3" s="47">
        <v>49.9</v>
      </c>
      <c r="Q3" s="47">
        <v>49.2</v>
      </c>
      <c r="R3" s="21"/>
      <c r="S3" s="21"/>
      <c r="T3" s="21"/>
      <c r="U3" s="21"/>
      <c r="V3" s="21"/>
      <c r="W3" s="21"/>
      <c r="X3" s="21"/>
      <c r="Y3" s="21"/>
    </row>
    <row r="4" spans="1:25" x14ac:dyDescent="0.25">
      <c r="A4" s="43">
        <v>3</v>
      </c>
      <c r="B4" s="40"/>
      <c r="C4" s="44">
        <v>0.375</v>
      </c>
      <c r="D4" s="44">
        <v>0.125</v>
      </c>
      <c r="E4" s="45">
        <f t="shared" si="0"/>
        <v>0.25</v>
      </c>
      <c r="F4" s="46">
        <v>30</v>
      </c>
      <c r="G4" s="47">
        <v>51.2</v>
      </c>
      <c r="H4" s="47">
        <v>25.799999999999997</v>
      </c>
      <c r="I4" s="47">
        <v>50.3</v>
      </c>
      <c r="J4" s="47">
        <v>50.1</v>
      </c>
      <c r="K4" s="47">
        <v>47.6</v>
      </c>
      <c r="L4" s="47">
        <v>50.5</v>
      </c>
      <c r="M4" s="47">
        <v>49.9</v>
      </c>
      <c r="N4" s="47">
        <v>50</v>
      </c>
      <c r="O4" s="47">
        <v>50.5</v>
      </c>
      <c r="P4" s="47">
        <v>49.9</v>
      </c>
      <c r="Q4" s="47">
        <v>49.2</v>
      </c>
      <c r="R4" s="21"/>
      <c r="S4" s="21"/>
      <c r="T4" s="21"/>
      <c r="U4" s="21"/>
      <c r="V4" s="21"/>
      <c r="W4" s="21"/>
      <c r="X4" s="21"/>
      <c r="Y4" s="21"/>
    </row>
    <row r="5" spans="1:25" x14ac:dyDescent="0.25">
      <c r="A5" s="43">
        <v>4</v>
      </c>
      <c r="B5" s="40"/>
      <c r="C5" s="44">
        <v>0.375</v>
      </c>
      <c r="D5" s="44">
        <v>0.125</v>
      </c>
      <c r="E5" s="45">
        <f t="shared" si="0"/>
        <v>0.25</v>
      </c>
      <c r="F5" s="46">
        <v>30</v>
      </c>
      <c r="G5" s="47">
        <v>51.3</v>
      </c>
      <c r="H5" s="47">
        <v>25.9</v>
      </c>
      <c r="I5" s="47">
        <v>50.4</v>
      </c>
      <c r="J5" s="47">
        <v>50.2</v>
      </c>
      <c r="K5" s="47">
        <v>47.7</v>
      </c>
      <c r="L5" s="47">
        <v>50.6</v>
      </c>
      <c r="M5" s="47">
        <v>50</v>
      </c>
      <c r="N5" s="47">
        <v>50.099999999999994</v>
      </c>
      <c r="O5" s="47">
        <v>50.6</v>
      </c>
      <c r="P5" s="47">
        <v>50</v>
      </c>
      <c r="Q5" s="47">
        <v>49.3</v>
      </c>
      <c r="R5" s="21"/>
      <c r="S5" s="21"/>
      <c r="T5" s="21"/>
      <c r="U5" s="21"/>
      <c r="V5" s="21"/>
      <c r="W5" s="21"/>
      <c r="X5" s="21"/>
      <c r="Y5" s="21"/>
    </row>
    <row r="6" spans="1:25" x14ac:dyDescent="0.25">
      <c r="A6" s="43">
        <v>5</v>
      </c>
      <c r="B6" s="40"/>
      <c r="C6" s="44">
        <v>0.375</v>
      </c>
      <c r="D6" s="44">
        <v>0.125</v>
      </c>
      <c r="E6" s="45">
        <f t="shared" si="0"/>
        <v>0.25</v>
      </c>
      <c r="F6" s="46">
        <v>30</v>
      </c>
      <c r="G6" s="47">
        <v>51.3</v>
      </c>
      <c r="H6" s="47">
        <v>25.9</v>
      </c>
      <c r="I6" s="47">
        <v>50.4</v>
      </c>
      <c r="J6" s="47">
        <v>50.2</v>
      </c>
      <c r="K6" s="47">
        <v>47.6</v>
      </c>
      <c r="L6" s="47">
        <v>50.6</v>
      </c>
      <c r="M6" s="47">
        <v>50</v>
      </c>
      <c r="N6" s="47">
        <v>49.900000000000006</v>
      </c>
      <c r="O6" s="47">
        <v>50.6</v>
      </c>
      <c r="P6" s="47">
        <v>50</v>
      </c>
      <c r="Q6" s="47">
        <v>49.2</v>
      </c>
      <c r="R6" s="21"/>
      <c r="S6" s="21"/>
      <c r="T6" s="21"/>
      <c r="U6" s="21"/>
      <c r="V6" s="21"/>
      <c r="W6" s="21"/>
      <c r="X6" s="21"/>
      <c r="Y6" s="21"/>
    </row>
    <row r="7" spans="1:25" x14ac:dyDescent="0.25">
      <c r="A7" s="43">
        <v>6</v>
      </c>
      <c r="B7" s="40"/>
      <c r="C7" s="44">
        <v>0.375</v>
      </c>
      <c r="D7" s="44">
        <v>0.125</v>
      </c>
      <c r="E7" s="45">
        <f t="shared" si="0"/>
        <v>0.25</v>
      </c>
      <c r="F7" s="46">
        <v>30</v>
      </c>
      <c r="G7" s="47">
        <v>51.4</v>
      </c>
      <c r="H7" s="47">
        <v>25.799999999999997</v>
      </c>
      <c r="I7" s="47">
        <v>50.5</v>
      </c>
      <c r="J7" s="47">
        <v>50.3</v>
      </c>
      <c r="K7" s="47">
        <v>47.7</v>
      </c>
      <c r="L7" s="47">
        <v>50.7</v>
      </c>
      <c r="M7" s="47">
        <v>50.1</v>
      </c>
      <c r="N7" s="47">
        <v>50</v>
      </c>
      <c r="O7" s="47">
        <v>50.7</v>
      </c>
      <c r="P7" s="47">
        <v>50.1</v>
      </c>
      <c r="Q7" s="47">
        <v>49.3</v>
      </c>
      <c r="R7" s="21"/>
      <c r="S7" s="21"/>
      <c r="T7" s="21"/>
      <c r="U7" s="21"/>
      <c r="V7" s="21"/>
      <c r="W7" s="21"/>
      <c r="X7" s="21"/>
      <c r="Y7" s="21"/>
    </row>
    <row r="8" spans="1:25" x14ac:dyDescent="0.25">
      <c r="A8" s="43">
        <v>7</v>
      </c>
      <c r="B8" s="40"/>
      <c r="C8" s="44">
        <v>0.375</v>
      </c>
      <c r="D8" s="44">
        <v>0.125</v>
      </c>
      <c r="E8" s="45">
        <f t="shared" si="0"/>
        <v>0.25</v>
      </c>
      <c r="F8" s="46">
        <v>30</v>
      </c>
      <c r="G8" s="47">
        <v>51.2</v>
      </c>
      <c r="H8" s="47">
        <v>25.799999999999997</v>
      </c>
      <c r="I8" s="47">
        <v>50.3</v>
      </c>
      <c r="J8" s="47">
        <v>50.1</v>
      </c>
      <c r="K8" s="47">
        <v>47.7</v>
      </c>
      <c r="L8" s="47">
        <v>50.5</v>
      </c>
      <c r="M8" s="47">
        <v>49.9</v>
      </c>
      <c r="N8" s="47">
        <v>50</v>
      </c>
      <c r="O8" s="47">
        <v>50.5</v>
      </c>
      <c r="P8" s="47">
        <v>49.9</v>
      </c>
      <c r="Q8" s="47">
        <v>49.3</v>
      </c>
      <c r="R8" s="21"/>
      <c r="S8" s="21"/>
      <c r="T8" s="21"/>
      <c r="U8" s="21"/>
      <c r="V8" s="21"/>
      <c r="W8" s="21"/>
      <c r="X8" s="21"/>
      <c r="Y8" s="21"/>
    </row>
    <row r="9" spans="1:25" x14ac:dyDescent="0.25">
      <c r="A9" s="43">
        <v>8</v>
      </c>
      <c r="B9" s="40"/>
      <c r="C9" s="44">
        <v>0.375</v>
      </c>
      <c r="D9" s="44">
        <v>0.125</v>
      </c>
      <c r="E9" s="45">
        <f t="shared" si="0"/>
        <v>0.25</v>
      </c>
      <c r="F9" s="46">
        <v>30</v>
      </c>
      <c r="G9" s="47">
        <v>51.2</v>
      </c>
      <c r="H9" s="47">
        <v>25.799999999999997</v>
      </c>
      <c r="I9" s="47">
        <v>50.3</v>
      </c>
      <c r="J9" s="47">
        <v>50.1</v>
      </c>
      <c r="K9" s="47">
        <v>47.6</v>
      </c>
      <c r="L9" s="47">
        <v>50.5</v>
      </c>
      <c r="M9" s="47">
        <v>49.9</v>
      </c>
      <c r="N9" s="47">
        <v>50</v>
      </c>
      <c r="O9" s="47">
        <v>50.5</v>
      </c>
      <c r="P9" s="47">
        <v>49.9</v>
      </c>
      <c r="Q9" s="47">
        <v>49.3</v>
      </c>
      <c r="R9" s="21"/>
      <c r="S9" s="21"/>
      <c r="T9" s="21"/>
      <c r="U9" s="21"/>
      <c r="V9" s="21"/>
      <c r="W9" s="21"/>
      <c r="X9" s="21"/>
      <c r="Y9" s="21"/>
    </row>
    <row r="10" spans="1:25" x14ac:dyDescent="0.25">
      <c r="A10" s="43">
        <v>9</v>
      </c>
      <c r="B10" s="40"/>
      <c r="C10" s="44">
        <v>0.375</v>
      </c>
      <c r="D10" s="44">
        <v>0.125</v>
      </c>
      <c r="E10" s="45">
        <f t="shared" si="0"/>
        <v>0.25</v>
      </c>
      <c r="F10" s="46">
        <v>30</v>
      </c>
      <c r="G10" s="47">
        <v>51.3</v>
      </c>
      <c r="H10" s="47">
        <v>25.9</v>
      </c>
      <c r="I10" s="47">
        <v>50.4</v>
      </c>
      <c r="J10" s="47">
        <v>50.2</v>
      </c>
      <c r="K10" s="47">
        <v>47.6</v>
      </c>
      <c r="L10" s="47">
        <v>50.6</v>
      </c>
      <c r="M10" s="47">
        <v>50</v>
      </c>
      <c r="N10" s="47">
        <v>50.099999999999994</v>
      </c>
      <c r="O10" s="47">
        <v>50.6</v>
      </c>
      <c r="P10" s="47">
        <v>50</v>
      </c>
      <c r="Q10" s="47">
        <v>49.3</v>
      </c>
      <c r="R10" s="21"/>
      <c r="S10" s="21"/>
      <c r="T10" s="21"/>
      <c r="U10" s="21"/>
      <c r="V10" s="21"/>
      <c r="W10" s="21"/>
      <c r="X10" s="21"/>
      <c r="Y10" s="21"/>
    </row>
    <row r="11" spans="1:25" x14ac:dyDescent="0.25">
      <c r="A11" s="43">
        <v>10</v>
      </c>
      <c r="B11" s="40"/>
      <c r="C11" s="44">
        <v>0.375</v>
      </c>
      <c r="D11" s="44">
        <v>0.125</v>
      </c>
      <c r="E11" s="45">
        <f t="shared" si="0"/>
        <v>0.25</v>
      </c>
      <c r="F11" s="46">
        <v>30</v>
      </c>
      <c r="G11" s="47">
        <v>51.2</v>
      </c>
      <c r="H11" s="47">
        <v>25.8</v>
      </c>
      <c r="I11" s="47">
        <v>50.4</v>
      </c>
      <c r="J11" s="47">
        <v>50</v>
      </c>
      <c r="K11" s="47">
        <v>47.6</v>
      </c>
      <c r="L11" s="47">
        <v>50.5</v>
      </c>
      <c r="M11" s="47">
        <v>49.8</v>
      </c>
      <c r="N11" s="47">
        <v>49.95</v>
      </c>
      <c r="O11" s="47">
        <v>50.6</v>
      </c>
      <c r="P11" s="47">
        <v>49.8</v>
      </c>
      <c r="Q11" s="47">
        <v>49.3</v>
      </c>
      <c r="R11" s="21"/>
      <c r="S11" s="21"/>
      <c r="T11" s="21"/>
      <c r="U11" s="21"/>
      <c r="V11" s="21"/>
      <c r="W11" s="21"/>
      <c r="X11" s="21"/>
      <c r="Y11" s="21"/>
    </row>
    <row r="12" spans="1:25" x14ac:dyDescent="0.25">
      <c r="A12" s="40"/>
      <c r="B12" s="40"/>
      <c r="C12" s="43"/>
      <c r="D12" s="43"/>
      <c r="E12" s="43"/>
      <c r="F12" s="48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21"/>
      <c r="S12" s="21"/>
      <c r="T12" s="21"/>
      <c r="U12" s="21"/>
      <c r="V12" s="21"/>
      <c r="W12" s="21"/>
      <c r="X12" s="21"/>
      <c r="Y12" s="21"/>
    </row>
    <row r="13" spans="1:25" x14ac:dyDescent="0.25">
      <c r="A13" s="43">
        <v>11</v>
      </c>
      <c r="B13" s="43" t="s">
        <v>48</v>
      </c>
      <c r="C13" s="44">
        <v>0.3</v>
      </c>
      <c r="D13" s="44">
        <v>0.1</v>
      </c>
      <c r="E13" s="44">
        <f t="shared" ref="E13:E22" si="1">C13-D13</f>
        <v>0.19999999999999998</v>
      </c>
      <c r="F13" s="46">
        <v>25</v>
      </c>
      <c r="G13" s="47">
        <v>51.2</v>
      </c>
      <c r="H13" s="47">
        <v>25.6</v>
      </c>
      <c r="I13" s="47">
        <v>50</v>
      </c>
      <c r="J13" s="47">
        <v>49.5</v>
      </c>
      <c r="K13" s="47">
        <v>47.25</v>
      </c>
      <c r="L13" s="47">
        <v>50.2</v>
      </c>
      <c r="M13" s="47">
        <v>49.7</v>
      </c>
      <c r="N13" s="47">
        <v>49.75</v>
      </c>
      <c r="O13" s="47">
        <v>50.4</v>
      </c>
      <c r="P13" s="47">
        <v>49.7</v>
      </c>
      <c r="Q13" s="47">
        <v>49.3</v>
      </c>
      <c r="R13" s="21"/>
      <c r="S13" s="21"/>
      <c r="T13" s="21"/>
      <c r="U13" s="21"/>
      <c r="V13" s="21"/>
      <c r="W13" s="21"/>
      <c r="X13" s="21"/>
      <c r="Y13" s="21"/>
    </row>
    <row r="14" spans="1:25" x14ac:dyDescent="0.25">
      <c r="A14" s="43">
        <v>12</v>
      </c>
      <c r="B14" s="40"/>
      <c r="C14" s="44">
        <v>0.3</v>
      </c>
      <c r="D14" s="44">
        <v>0.1</v>
      </c>
      <c r="E14" s="44">
        <f t="shared" si="1"/>
        <v>0.19999999999999998</v>
      </c>
      <c r="F14" s="46">
        <v>25</v>
      </c>
      <c r="G14" s="47">
        <v>51.1</v>
      </c>
      <c r="H14" s="47">
        <v>25.6</v>
      </c>
      <c r="I14" s="47">
        <v>50</v>
      </c>
      <c r="J14" s="47">
        <v>49.5</v>
      </c>
      <c r="K14" s="47">
        <v>47.150000000000006</v>
      </c>
      <c r="L14" s="47">
        <v>50.2</v>
      </c>
      <c r="M14" s="47">
        <v>49.7</v>
      </c>
      <c r="N14" s="47">
        <v>49.75</v>
      </c>
      <c r="O14" s="47">
        <v>50.4</v>
      </c>
      <c r="P14" s="47">
        <v>49.7</v>
      </c>
      <c r="Q14" s="47">
        <v>49.3</v>
      </c>
      <c r="R14" s="21"/>
      <c r="S14" s="21"/>
      <c r="T14" s="21"/>
      <c r="U14" s="21"/>
      <c r="V14" s="21"/>
      <c r="W14" s="21"/>
      <c r="X14" s="21"/>
      <c r="Y14" s="21"/>
    </row>
    <row r="15" spans="1:25" x14ac:dyDescent="0.25">
      <c r="A15" s="43">
        <v>13</v>
      </c>
      <c r="B15" s="40"/>
      <c r="C15" s="44">
        <v>0.3</v>
      </c>
      <c r="D15" s="44">
        <v>0.1</v>
      </c>
      <c r="E15" s="44">
        <f t="shared" si="1"/>
        <v>0.19999999999999998</v>
      </c>
      <c r="F15" s="46">
        <v>25</v>
      </c>
      <c r="G15" s="47">
        <v>51.2</v>
      </c>
      <c r="H15" s="47">
        <v>25.6</v>
      </c>
      <c r="I15" s="47">
        <v>50</v>
      </c>
      <c r="J15" s="47">
        <v>49.5</v>
      </c>
      <c r="K15" s="47">
        <v>47</v>
      </c>
      <c r="L15" s="47">
        <v>50.2</v>
      </c>
      <c r="M15" s="47">
        <v>49.7</v>
      </c>
      <c r="N15" s="47">
        <v>49.65</v>
      </c>
      <c r="O15" s="47">
        <v>50.4</v>
      </c>
      <c r="P15" s="47">
        <v>49.7</v>
      </c>
      <c r="Q15" s="47">
        <v>49.099999999999994</v>
      </c>
      <c r="R15" s="21"/>
      <c r="S15" s="21"/>
      <c r="T15" s="21"/>
      <c r="U15" s="21"/>
      <c r="V15" s="21"/>
      <c r="W15" s="21"/>
      <c r="X15" s="21"/>
      <c r="Y15" s="21"/>
    </row>
    <row r="16" spans="1:25" x14ac:dyDescent="0.25">
      <c r="A16" s="43">
        <v>14</v>
      </c>
      <c r="B16" s="40"/>
      <c r="C16" s="44">
        <v>0.3</v>
      </c>
      <c r="D16" s="44">
        <v>0.1</v>
      </c>
      <c r="E16" s="44">
        <f t="shared" si="1"/>
        <v>0.19999999999999998</v>
      </c>
      <c r="F16" s="46">
        <v>25</v>
      </c>
      <c r="G16" s="47">
        <v>51.2</v>
      </c>
      <c r="H16" s="47">
        <v>25.6</v>
      </c>
      <c r="I16" s="47">
        <v>50</v>
      </c>
      <c r="J16" s="47">
        <v>49.5</v>
      </c>
      <c r="K16" s="47">
        <v>47</v>
      </c>
      <c r="L16" s="47">
        <v>50.2</v>
      </c>
      <c r="M16" s="47">
        <v>49.7</v>
      </c>
      <c r="N16" s="47">
        <v>49.65</v>
      </c>
      <c r="O16" s="47">
        <v>50.4</v>
      </c>
      <c r="P16" s="47">
        <v>49.7</v>
      </c>
      <c r="Q16" s="47">
        <v>49.099999999999994</v>
      </c>
      <c r="R16" s="21"/>
      <c r="S16" s="21"/>
      <c r="T16" s="21"/>
      <c r="U16" s="21"/>
      <c r="V16" s="21"/>
      <c r="W16" s="21"/>
      <c r="X16" s="21"/>
      <c r="Y16" s="21"/>
    </row>
    <row r="17" spans="1:25" x14ac:dyDescent="0.25">
      <c r="A17" s="43">
        <v>15</v>
      </c>
      <c r="B17" s="40"/>
      <c r="C17" s="44">
        <v>0.3</v>
      </c>
      <c r="D17" s="44">
        <v>0.1</v>
      </c>
      <c r="E17" s="44">
        <f t="shared" si="1"/>
        <v>0.19999999999999998</v>
      </c>
      <c r="F17" s="46">
        <v>25</v>
      </c>
      <c r="G17" s="47">
        <v>51.25</v>
      </c>
      <c r="H17" s="47">
        <v>25.6</v>
      </c>
      <c r="I17" s="47">
        <v>50</v>
      </c>
      <c r="J17" s="47">
        <v>49.5</v>
      </c>
      <c r="K17" s="47">
        <v>47.150000000000006</v>
      </c>
      <c r="L17" s="47">
        <v>50.2</v>
      </c>
      <c r="M17" s="47">
        <v>49.7</v>
      </c>
      <c r="N17" s="47">
        <v>49.65</v>
      </c>
      <c r="O17" s="47">
        <v>50.4</v>
      </c>
      <c r="P17" s="47">
        <v>49.7</v>
      </c>
      <c r="Q17" s="47">
        <v>49.099999999999994</v>
      </c>
      <c r="R17" s="21"/>
      <c r="S17" s="21"/>
      <c r="T17" s="21"/>
      <c r="U17" s="21"/>
      <c r="V17" s="21"/>
      <c r="W17" s="21"/>
      <c r="X17" s="21"/>
      <c r="Y17" s="21"/>
    </row>
    <row r="18" spans="1:25" x14ac:dyDescent="0.25">
      <c r="A18" s="43">
        <v>16</v>
      </c>
      <c r="B18" s="40"/>
      <c r="C18" s="44">
        <v>0.3</v>
      </c>
      <c r="D18" s="44">
        <v>0.1</v>
      </c>
      <c r="E18" s="44">
        <f t="shared" si="1"/>
        <v>0.19999999999999998</v>
      </c>
      <c r="F18" s="46">
        <v>25</v>
      </c>
      <c r="G18" s="47">
        <v>51.2</v>
      </c>
      <c r="H18" s="47">
        <v>25.6</v>
      </c>
      <c r="I18" s="47">
        <v>50</v>
      </c>
      <c r="J18" s="47">
        <v>49.5</v>
      </c>
      <c r="K18" s="47">
        <v>47.1</v>
      </c>
      <c r="L18" s="47">
        <v>50.2</v>
      </c>
      <c r="M18" s="47">
        <v>49.7</v>
      </c>
      <c r="N18" s="47">
        <v>49.65</v>
      </c>
      <c r="O18" s="47">
        <v>50.4</v>
      </c>
      <c r="P18" s="47">
        <v>49.7</v>
      </c>
      <c r="Q18" s="47">
        <v>49.099999999999994</v>
      </c>
      <c r="R18" s="21"/>
      <c r="S18" s="21"/>
      <c r="T18" s="21"/>
      <c r="U18" s="21"/>
      <c r="V18" s="21"/>
      <c r="W18" s="21"/>
      <c r="X18" s="21"/>
      <c r="Y18" s="21"/>
    </row>
    <row r="19" spans="1:25" x14ac:dyDescent="0.25">
      <c r="A19" s="43">
        <v>17</v>
      </c>
      <c r="B19" s="40"/>
      <c r="C19" s="44">
        <v>0.3</v>
      </c>
      <c r="D19" s="44">
        <v>0.1</v>
      </c>
      <c r="E19" s="44">
        <f t="shared" si="1"/>
        <v>0.19999999999999998</v>
      </c>
      <c r="F19" s="46">
        <v>25</v>
      </c>
      <c r="G19" s="47">
        <v>51.25</v>
      </c>
      <c r="H19" s="47">
        <v>25.6</v>
      </c>
      <c r="I19" s="47">
        <v>50</v>
      </c>
      <c r="J19" s="47">
        <v>49.5</v>
      </c>
      <c r="K19" s="47">
        <v>47.1</v>
      </c>
      <c r="L19" s="47">
        <v>50.2</v>
      </c>
      <c r="M19" s="47">
        <v>49.7</v>
      </c>
      <c r="N19" s="47">
        <v>49.75</v>
      </c>
      <c r="O19" s="47">
        <v>50.4</v>
      </c>
      <c r="P19" s="47">
        <v>49.7</v>
      </c>
      <c r="Q19" s="47">
        <v>49.2</v>
      </c>
      <c r="R19" s="21"/>
      <c r="S19" s="21"/>
      <c r="T19" s="21"/>
      <c r="U19" s="21"/>
      <c r="V19" s="21"/>
      <c r="W19" s="21"/>
      <c r="X19" s="21"/>
      <c r="Y19" s="21"/>
    </row>
    <row r="20" spans="1:25" x14ac:dyDescent="0.25">
      <c r="A20" s="43">
        <v>18</v>
      </c>
      <c r="B20" s="40"/>
      <c r="C20" s="44">
        <v>0.3</v>
      </c>
      <c r="D20" s="44">
        <v>0.1</v>
      </c>
      <c r="E20" s="44">
        <f t="shared" si="1"/>
        <v>0.19999999999999998</v>
      </c>
      <c r="F20" s="46">
        <v>25</v>
      </c>
      <c r="G20" s="47">
        <v>51.25</v>
      </c>
      <c r="H20" s="47">
        <v>25.6</v>
      </c>
      <c r="I20" s="47">
        <v>50</v>
      </c>
      <c r="J20" s="47">
        <v>49.5</v>
      </c>
      <c r="K20" s="47">
        <v>47.150000000000006</v>
      </c>
      <c r="L20" s="47">
        <v>50.2</v>
      </c>
      <c r="M20" s="47">
        <v>49.7</v>
      </c>
      <c r="N20" s="47">
        <v>49.75</v>
      </c>
      <c r="O20" s="47">
        <v>50.4</v>
      </c>
      <c r="P20" s="47">
        <v>49.7</v>
      </c>
      <c r="Q20" s="47">
        <v>49.2</v>
      </c>
      <c r="R20" s="21"/>
      <c r="S20" s="21"/>
      <c r="T20" s="21"/>
      <c r="U20" s="21"/>
      <c r="V20" s="21"/>
      <c r="W20" s="21"/>
      <c r="X20" s="21"/>
      <c r="Y20" s="21"/>
    </row>
    <row r="21" spans="1:25" x14ac:dyDescent="0.25">
      <c r="A21" s="43">
        <v>19</v>
      </c>
      <c r="B21" s="40"/>
      <c r="C21" s="44">
        <v>0.3</v>
      </c>
      <c r="D21" s="44">
        <v>0.1</v>
      </c>
      <c r="E21" s="44">
        <f t="shared" si="1"/>
        <v>0.19999999999999998</v>
      </c>
      <c r="F21" s="46">
        <v>25</v>
      </c>
      <c r="G21" s="47">
        <v>51.25</v>
      </c>
      <c r="H21" s="47">
        <v>25.6</v>
      </c>
      <c r="I21" s="47">
        <v>50</v>
      </c>
      <c r="J21" s="47">
        <v>49.5</v>
      </c>
      <c r="K21" s="47">
        <v>47.1</v>
      </c>
      <c r="L21" s="47">
        <v>50.2</v>
      </c>
      <c r="M21" s="47">
        <v>49.7</v>
      </c>
      <c r="N21" s="47">
        <v>49.75</v>
      </c>
      <c r="O21" s="47">
        <v>50.4</v>
      </c>
      <c r="P21" s="47">
        <v>49.7</v>
      </c>
      <c r="Q21" s="47">
        <v>49.2</v>
      </c>
      <c r="R21" s="21"/>
      <c r="S21" s="21"/>
      <c r="T21" s="21"/>
      <c r="U21" s="21"/>
      <c r="V21" s="21"/>
      <c r="W21" s="21"/>
      <c r="X21" s="21"/>
      <c r="Y21" s="21"/>
    </row>
    <row r="22" spans="1:25" x14ac:dyDescent="0.25">
      <c r="A22" s="43">
        <v>20</v>
      </c>
      <c r="B22" s="40"/>
      <c r="C22" s="44">
        <v>0.3</v>
      </c>
      <c r="D22" s="44">
        <v>0.1</v>
      </c>
      <c r="E22" s="44">
        <f t="shared" si="1"/>
        <v>0.19999999999999998</v>
      </c>
      <c r="F22" s="46">
        <v>25</v>
      </c>
      <c r="G22" s="47">
        <v>51.25</v>
      </c>
      <c r="H22" s="47">
        <v>25.6</v>
      </c>
      <c r="I22" s="47">
        <v>50</v>
      </c>
      <c r="J22" s="47">
        <v>49.5</v>
      </c>
      <c r="K22" s="47">
        <v>47.25</v>
      </c>
      <c r="L22" s="47">
        <v>50.2</v>
      </c>
      <c r="M22" s="47">
        <v>49.7</v>
      </c>
      <c r="N22" s="47">
        <v>49.75</v>
      </c>
      <c r="O22" s="47">
        <v>50.4</v>
      </c>
      <c r="P22" s="47">
        <v>49.7</v>
      </c>
      <c r="Q22" s="47">
        <v>49.2</v>
      </c>
      <c r="R22" s="21"/>
      <c r="S22" s="21"/>
      <c r="T22" s="21"/>
      <c r="U22" s="21"/>
      <c r="V22" s="21"/>
      <c r="W22" s="21"/>
      <c r="X22" s="21"/>
      <c r="Y22" s="21"/>
    </row>
    <row r="23" spans="1:25" x14ac:dyDescent="0.25">
      <c r="A23" s="40"/>
      <c r="B23" s="40"/>
      <c r="C23" s="43"/>
      <c r="D23" s="43"/>
      <c r="E23" s="43"/>
      <c r="F23" s="48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21"/>
      <c r="S23" s="21"/>
      <c r="T23" s="21"/>
      <c r="U23" s="21"/>
      <c r="V23" s="21"/>
      <c r="W23" s="21"/>
      <c r="X23" s="21"/>
      <c r="Y23" s="21"/>
    </row>
    <row r="24" spans="1:25" x14ac:dyDescent="0.25">
      <c r="A24" s="43">
        <v>21</v>
      </c>
      <c r="B24" s="43" t="s">
        <v>49</v>
      </c>
      <c r="C24" s="44">
        <v>0.21000000000000002</v>
      </c>
      <c r="D24" s="44">
        <v>0.1</v>
      </c>
      <c r="E24" s="45">
        <f t="shared" ref="E24:E33" si="2">C24-D24</f>
        <v>0.11000000000000001</v>
      </c>
      <c r="F24" s="46">
        <v>20</v>
      </c>
      <c r="G24" s="47">
        <v>51.349999999999994</v>
      </c>
      <c r="H24" s="47">
        <v>26.5</v>
      </c>
      <c r="I24" s="47">
        <v>50.5</v>
      </c>
      <c r="J24" s="47">
        <v>50</v>
      </c>
      <c r="K24" s="47">
        <v>47.5</v>
      </c>
      <c r="L24" s="47">
        <v>50.5</v>
      </c>
      <c r="M24" s="47">
        <v>50</v>
      </c>
      <c r="N24" s="47">
        <v>49.95</v>
      </c>
      <c r="O24" s="47">
        <v>50.9</v>
      </c>
      <c r="P24" s="47">
        <v>50.3</v>
      </c>
      <c r="Q24" s="47">
        <v>49.5</v>
      </c>
      <c r="R24" s="21"/>
      <c r="S24" s="21"/>
      <c r="T24" s="21"/>
      <c r="U24" s="21"/>
      <c r="V24" s="21"/>
      <c r="W24" s="21"/>
      <c r="X24" s="21"/>
      <c r="Y24" s="21"/>
    </row>
    <row r="25" spans="1:25" x14ac:dyDescent="0.25">
      <c r="A25" s="43">
        <v>22</v>
      </c>
      <c r="B25" s="40"/>
      <c r="C25" s="44">
        <v>0.21000000000000002</v>
      </c>
      <c r="D25" s="44">
        <v>0.1</v>
      </c>
      <c r="E25" s="45">
        <f t="shared" si="2"/>
        <v>0.11000000000000001</v>
      </c>
      <c r="F25" s="46">
        <v>20</v>
      </c>
      <c r="G25" s="47">
        <v>51.3</v>
      </c>
      <c r="H25" s="47">
        <v>26.5</v>
      </c>
      <c r="I25" s="47">
        <v>50.5</v>
      </c>
      <c r="J25" s="47">
        <v>50</v>
      </c>
      <c r="K25" s="47">
        <v>47.55</v>
      </c>
      <c r="L25" s="47">
        <v>50.5</v>
      </c>
      <c r="M25" s="47">
        <v>50</v>
      </c>
      <c r="N25" s="47">
        <v>49.849999999999994</v>
      </c>
      <c r="O25" s="47">
        <v>50.7</v>
      </c>
      <c r="P25" s="47">
        <v>50.3</v>
      </c>
      <c r="Q25" s="47">
        <v>49.5</v>
      </c>
      <c r="R25" s="21"/>
      <c r="S25" s="21"/>
      <c r="T25" s="21"/>
      <c r="U25" s="21"/>
      <c r="V25" s="21"/>
      <c r="W25" s="21"/>
      <c r="X25" s="21"/>
      <c r="Y25" s="21"/>
    </row>
    <row r="26" spans="1:25" x14ac:dyDescent="0.25">
      <c r="A26" s="43">
        <v>23</v>
      </c>
      <c r="B26" s="40"/>
      <c r="C26" s="44">
        <v>0.21000000000000002</v>
      </c>
      <c r="D26" s="44">
        <v>0.1</v>
      </c>
      <c r="E26" s="45">
        <f t="shared" si="2"/>
        <v>0.11000000000000001</v>
      </c>
      <c r="F26" s="46">
        <v>20</v>
      </c>
      <c r="G26" s="47">
        <v>51.349999999999994</v>
      </c>
      <c r="H26" s="47">
        <v>26.4</v>
      </c>
      <c r="I26" s="47">
        <v>50.5</v>
      </c>
      <c r="J26" s="47">
        <v>50</v>
      </c>
      <c r="K26" s="47">
        <v>47.5</v>
      </c>
      <c r="L26" s="47">
        <v>50.5</v>
      </c>
      <c r="M26" s="47">
        <v>50</v>
      </c>
      <c r="N26" s="47">
        <v>49.849999999999994</v>
      </c>
      <c r="O26" s="47">
        <v>50.7</v>
      </c>
      <c r="P26" s="47">
        <v>50.3</v>
      </c>
      <c r="Q26" s="47">
        <v>49.400000000000006</v>
      </c>
      <c r="R26" s="21"/>
      <c r="S26" s="21"/>
      <c r="T26" s="21"/>
      <c r="U26" s="21"/>
      <c r="V26" s="21"/>
      <c r="W26" s="21"/>
      <c r="X26" s="21"/>
      <c r="Y26" s="21"/>
    </row>
    <row r="27" spans="1:25" x14ac:dyDescent="0.25">
      <c r="A27" s="43">
        <v>24</v>
      </c>
      <c r="B27" s="40"/>
      <c r="C27" s="44">
        <v>0.21000000000000002</v>
      </c>
      <c r="D27" s="44">
        <v>0.1</v>
      </c>
      <c r="E27" s="45">
        <f t="shared" si="2"/>
        <v>0.11000000000000001</v>
      </c>
      <c r="F27" s="46">
        <v>20</v>
      </c>
      <c r="G27" s="47">
        <v>51.3</v>
      </c>
      <c r="H27" s="47">
        <v>26.4</v>
      </c>
      <c r="I27" s="47">
        <v>50.5</v>
      </c>
      <c r="J27" s="47">
        <v>50</v>
      </c>
      <c r="K27" s="47">
        <v>47.35</v>
      </c>
      <c r="L27" s="47">
        <v>50.5</v>
      </c>
      <c r="M27" s="47">
        <v>50</v>
      </c>
      <c r="N27" s="47">
        <v>49.849999999999994</v>
      </c>
      <c r="O27" s="47">
        <v>50.7</v>
      </c>
      <c r="P27" s="47">
        <v>50.3</v>
      </c>
      <c r="Q27" s="47">
        <v>49.5</v>
      </c>
      <c r="R27" s="21"/>
      <c r="S27" s="21"/>
      <c r="T27" s="21"/>
      <c r="U27" s="21"/>
      <c r="V27" s="21"/>
      <c r="W27" s="21"/>
      <c r="X27" s="21"/>
      <c r="Y27" s="21"/>
    </row>
    <row r="28" spans="1:25" x14ac:dyDescent="0.25">
      <c r="A28" s="43">
        <v>25</v>
      </c>
      <c r="B28" s="40"/>
      <c r="C28" s="44">
        <v>0.21000000000000002</v>
      </c>
      <c r="D28" s="44">
        <v>0.1</v>
      </c>
      <c r="E28" s="45">
        <f t="shared" si="2"/>
        <v>0.11000000000000001</v>
      </c>
      <c r="F28" s="46">
        <v>20</v>
      </c>
      <c r="G28" s="47">
        <v>51.25</v>
      </c>
      <c r="H28" s="47">
        <v>26.5</v>
      </c>
      <c r="I28" s="47">
        <v>50.6</v>
      </c>
      <c r="J28" s="47">
        <v>50.1</v>
      </c>
      <c r="K28" s="47">
        <v>47.55</v>
      </c>
      <c r="L28" s="47">
        <v>50.6</v>
      </c>
      <c r="M28" s="47">
        <v>50.1</v>
      </c>
      <c r="N28" s="47">
        <v>49.95</v>
      </c>
      <c r="O28" s="47">
        <v>50.8</v>
      </c>
      <c r="P28" s="47">
        <v>50.4</v>
      </c>
      <c r="Q28" s="47">
        <v>49.6</v>
      </c>
      <c r="R28" s="21"/>
      <c r="S28" s="21"/>
      <c r="T28" s="21"/>
      <c r="U28" s="21"/>
      <c r="V28" s="21"/>
      <c r="W28" s="21"/>
      <c r="X28" s="21"/>
      <c r="Y28" s="21"/>
    </row>
    <row r="29" spans="1:25" x14ac:dyDescent="0.25">
      <c r="A29" s="43">
        <v>26</v>
      </c>
      <c r="B29" s="40"/>
      <c r="C29" s="44">
        <v>0.21000000000000002</v>
      </c>
      <c r="D29" s="44">
        <v>0.1</v>
      </c>
      <c r="E29" s="45">
        <f t="shared" si="2"/>
        <v>0.11000000000000001</v>
      </c>
      <c r="F29" s="46">
        <v>20</v>
      </c>
      <c r="G29" s="47">
        <v>51.3</v>
      </c>
      <c r="H29" s="47">
        <v>26.5</v>
      </c>
      <c r="I29" s="47">
        <v>50.6</v>
      </c>
      <c r="J29" s="47">
        <v>50.1</v>
      </c>
      <c r="K29" s="47">
        <v>47.6</v>
      </c>
      <c r="L29" s="47">
        <v>50.4</v>
      </c>
      <c r="M29" s="47">
        <v>50.1</v>
      </c>
      <c r="N29" s="47">
        <v>49.95</v>
      </c>
      <c r="O29" s="47">
        <v>50.8</v>
      </c>
      <c r="P29" s="47">
        <v>50.2</v>
      </c>
      <c r="Q29" s="47">
        <v>49.6</v>
      </c>
      <c r="R29" s="21"/>
      <c r="S29" s="21"/>
      <c r="T29" s="21"/>
      <c r="U29" s="21"/>
      <c r="V29" s="21"/>
      <c r="W29" s="21"/>
      <c r="X29" s="21"/>
      <c r="Y29" s="21"/>
    </row>
    <row r="30" spans="1:25" x14ac:dyDescent="0.25">
      <c r="A30" s="43">
        <v>27</v>
      </c>
      <c r="B30" s="40"/>
      <c r="C30" s="44">
        <v>0.21000000000000002</v>
      </c>
      <c r="D30" s="44">
        <v>0.1</v>
      </c>
      <c r="E30" s="45">
        <f t="shared" si="2"/>
        <v>0.11000000000000001</v>
      </c>
      <c r="F30" s="46">
        <v>20</v>
      </c>
      <c r="G30" s="47">
        <v>51.3</v>
      </c>
      <c r="H30" s="47">
        <v>26.5</v>
      </c>
      <c r="I30" s="47">
        <v>50.6</v>
      </c>
      <c r="J30" s="47">
        <v>50.1</v>
      </c>
      <c r="K30" s="47">
        <v>47.55</v>
      </c>
      <c r="L30" s="47">
        <v>50.4</v>
      </c>
      <c r="M30" s="47">
        <v>50.1</v>
      </c>
      <c r="N30" s="47">
        <v>49.95</v>
      </c>
      <c r="O30" s="47">
        <v>50.8</v>
      </c>
      <c r="P30" s="47">
        <v>50.2</v>
      </c>
      <c r="Q30" s="47">
        <v>49.6</v>
      </c>
      <c r="R30" s="21"/>
      <c r="S30" s="21"/>
      <c r="T30" s="21"/>
      <c r="U30" s="21"/>
      <c r="V30" s="21"/>
      <c r="W30" s="21"/>
      <c r="X30" s="21"/>
      <c r="Y30" s="21"/>
    </row>
    <row r="31" spans="1:25" x14ac:dyDescent="0.25">
      <c r="A31" s="43">
        <v>28</v>
      </c>
      <c r="B31" s="40"/>
      <c r="C31" s="44">
        <v>0.21000000000000002</v>
      </c>
      <c r="D31" s="44">
        <v>0.1</v>
      </c>
      <c r="E31" s="45">
        <f t="shared" si="2"/>
        <v>0.11000000000000001</v>
      </c>
      <c r="F31" s="46">
        <v>20</v>
      </c>
      <c r="G31" s="47">
        <v>51.2</v>
      </c>
      <c r="H31" s="47">
        <v>26.4</v>
      </c>
      <c r="I31" s="47">
        <v>50.6</v>
      </c>
      <c r="J31" s="47">
        <v>50.1</v>
      </c>
      <c r="K31" s="47">
        <v>47.5</v>
      </c>
      <c r="L31" s="47">
        <v>50.4</v>
      </c>
      <c r="M31" s="47">
        <v>50.1</v>
      </c>
      <c r="N31" s="47">
        <v>49.95</v>
      </c>
      <c r="O31" s="47">
        <v>50.8</v>
      </c>
      <c r="P31" s="47">
        <v>50.2</v>
      </c>
      <c r="Q31" s="47">
        <v>49.6</v>
      </c>
      <c r="R31" s="21"/>
      <c r="S31" s="21"/>
      <c r="T31" s="21"/>
      <c r="U31" s="21"/>
      <c r="V31" s="21"/>
      <c r="W31" s="21"/>
      <c r="X31" s="21"/>
      <c r="Y31" s="21"/>
    </row>
    <row r="32" spans="1:25" x14ac:dyDescent="0.25">
      <c r="A32" s="43">
        <v>29</v>
      </c>
      <c r="B32" s="40"/>
      <c r="C32" s="44">
        <v>0.21000000000000002</v>
      </c>
      <c r="D32" s="44">
        <v>0.1</v>
      </c>
      <c r="E32" s="45">
        <f t="shared" si="2"/>
        <v>0.11000000000000001</v>
      </c>
      <c r="F32" s="46">
        <v>20</v>
      </c>
      <c r="G32" s="47">
        <v>51.2</v>
      </c>
      <c r="H32" s="47">
        <v>26.4</v>
      </c>
      <c r="I32" s="47">
        <v>50.6</v>
      </c>
      <c r="J32" s="47">
        <v>50.1</v>
      </c>
      <c r="K32" s="47">
        <v>47.5</v>
      </c>
      <c r="L32" s="47">
        <v>50.4</v>
      </c>
      <c r="M32" s="47">
        <v>50.1</v>
      </c>
      <c r="N32" s="47">
        <v>49.95</v>
      </c>
      <c r="O32" s="47">
        <v>50.8</v>
      </c>
      <c r="P32" s="47">
        <v>50.2</v>
      </c>
      <c r="Q32" s="47">
        <v>49.6</v>
      </c>
      <c r="R32" s="21"/>
      <c r="S32" s="21"/>
      <c r="T32" s="21"/>
      <c r="U32" s="21"/>
      <c r="V32" s="21"/>
      <c r="W32" s="21"/>
      <c r="X32" s="21"/>
      <c r="Y32" s="21"/>
    </row>
    <row r="33" spans="1:25" x14ac:dyDescent="0.25">
      <c r="A33" s="43">
        <v>30</v>
      </c>
      <c r="B33" s="40"/>
      <c r="C33" s="44">
        <v>0.21000000000000002</v>
      </c>
      <c r="D33" s="44">
        <v>0.1</v>
      </c>
      <c r="E33" s="45">
        <f t="shared" si="2"/>
        <v>0.11000000000000001</v>
      </c>
      <c r="F33" s="46">
        <v>20</v>
      </c>
      <c r="G33" s="47">
        <v>51.25</v>
      </c>
      <c r="H33" s="47">
        <v>26.4</v>
      </c>
      <c r="I33" s="47">
        <v>50.6</v>
      </c>
      <c r="J33" s="47">
        <v>50.1</v>
      </c>
      <c r="K33" s="47">
        <v>47.45</v>
      </c>
      <c r="L33" s="47">
        <v>50.4</v>
      </c>
      <c r="M33" s="47">
        <v>50.1</v>
      </c>
      <c r="N33" s="47">
        <v>49.95</v>
      </c>
      <c r="O33" s="47">
        <v>50.8</v>
      </c>
      <c r="P33" s="47">
        <v>50.2</v>
      </c>
      <c r="Q33" s="47">
        <v>49.6</v>
      </c>
      <c r="R33" s="21"/>
      <c r="S33" s="21"/>
      <c r="T33" s="21"/>
      <c r="U33" s="21"/>
      <c r="V33" s="21"/>
      <c r="W33" s="21"/>
      <c r="X33" s="21"/>
      <c r="Y33" s="21"/>
    </row>
    <row r="34" spans="1:25" x14ac:dyDescent="0.25">
      <c r="A34" s="40"/>
      <c r="B34" s="40"/>
      <c r="C34" s="43"/>
      <c r="D34" s="43"/>
      <c r="E34" s="43"/>
      <c r="F34" s="48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21"/>
      <c r="S34" s="21"/>
      <c r="T34" s="21"/>
      <c r="U34" s="21"/>
      <c r="V34" s="21"/>
      <c r="W34" s="21"/>
      <c r="X34" s="21"/>
      <c r="Y34" s="21"/>
    </row>
    <row r="35" spans="1:25" x14ac:dyDescent="0.25">
      <c r="A35" s="43">
        <v>31</v>
      </c>
      <c r="B35" s="43" t="s">
        <v>50</v>
      </c>
      <c r="C35" s="44">
        <v>0.15</v>
      </c>
      <c r="D35" s="44">
        <v>7.4999999999999997E-2</v>
      </c>
      <c r="E35" s="45">
        <f t="shared" ref="E35:E44" si="3">C35-D35</f>
        <v>7.4999999999999997E-2</v>
      </c>
      <c r="F35" s="46">
        <v>15</v>
      </c>
      <c r="G35" s="47">
        <v>51.4</v>
      </c>
      <c r="H35" s="47">
        <v>26.700000000000003</v>
      </c>
      <c r="I35" s="47">
        <v>50.6</v>
      </c>
      <c r="J35" s="47">
        <v>50.1</v>
      </c>
      <c r="K35" s="47">
        <v>47.75</v>
      </c>
      <c r="L35" s="47">
        <v>50.5</v>
      </c>
      <c r="M35" s="47">
        <v>50</v>
      </c>
      <c r="N35" s="47">
        <v>50</v>
      </c>
      <c r="O35" s="47">
        <v>50.8</v>
      </c>
      <c r="P35" s="47">
        <v>50.3</v>
      </c>
      <c r="Q35" s="47">
        <v>49.4</v>
      </c>
      <c r="R35" s="21"/>
      <c r="S35" s="21"/>
      <c r="T35" s="21"/>
      <c r="U35" s="21"/>
      <c r="V35" s="21"/>
      <c r="W35" s="21"/>
      <c r="X35" s="21"/>
      <c r="Y35" s="21"/>
    </row>
    <row r="36" spans="1:25" x14ac:dyDescent="0.25">
      <c r="A36" s="43">
        <v>32</v>
      </c>
      <c r="B36" s="40"/>
      <c r="C36" s="44">
        <v>0.15</v>
      </c>
      <c r="D36" s="44">
        <v>7.4999999999999997E-2</v>
      </c>
      <c r="E36" s="45">
        <f t="shared" si="3"/>
        <v>7.4999999999999997E-2</v>
      </c>
      <c r="F36" s="46">
        <v>15</v>
      </c>
      <c r="G36" s="47">
        <v>51.45</v>
      </c>
      <c r="H36" s="47">
        <v>26.6</v>
      </c>
      <c r="I36" s="47">
        <v>50.5</v>
      </c>
      <c r="J36" s="47">
        <v>49.9</v>
      </c>
      <c r="K36" s="47">
        <v>47.7</v>
      </c>
      <c r="L36" s="47">
        <v>50.5</v>
      </c>
      <c r="M36" s="47">
        <v>49.9</v>
      </c>
      <c r="N36" s="47">
        <v>49.9</v>
      </c>
      <c r="O36" s="47">
        <v>50.6</v>
      </c>
      <c r="P36" s="47">
        <v>50.3</v>
      </c>
      <c r="Q36" s="47">
        <v>49.4</v>
      </c>
      <c r="R36" s="21"/>
      <c r="S36" s="21"/>
      <c r="T36" s="21"/>
      <c r="U36" s="21"/>
      <c r="V36" s="21"/>
      <c r="W36" s="21"/>
      <c r="X36" s="21"/>
      <c r="Y36" s="21"/>
    </row>
    <row r="37" spans="1:25" x14ac:dyDescent="0.25">
      <c r="A37" s="43">
        <v>33</v>
      </c>
      <c r="B37" s="40"/>
      <c r="C37" s="44">
        <v>0.15</v>
      </c>
      <c r="D37" s="44">
        <v>7.4999999999999997E-2</v>
      </c>
      <c r="E37" s="45">
        <f t="shared" si="3"/>
        <v>7.4999999999999997E-2</v>
      </c>
      <c r="F37" s="46">
        <v>15</v>
      </c>
      <c r="G37" s="47">
        <v>51.5</v>
      </c>
      <c r="H37" s="47">
        <v>26.5</v>
      </c>
      <c r="I37" s="47">
        <v>50.5</v>
      </c>
      <c r="J37" s="47">
        <v>49.9</v>
      </c>
      <c r="K37" s="47">
        <v>47.7</v>
      </c>
      <c r="L37" s="47">
        <v>50.5</v>
      </c>
      <c r="M37" s="47">
        <v>49.9</v>
      </c>
      <c r="N37" s="47">
        <v>49.9</v>
      </c>
      <c r="O37" s="47">
        <v>50.6</v>
      </c>
      <c r="P37" s="47">
        <v>50.3</v>
      </c>
      <c r="Q37" s="47">
        <v>49.4</v>
      </c>
      <c r="R37" s="21"/>
      <c r="S37" s="21"/>
      <c r="T37" s="21"/>
      <c r="U37" s="21"/>
      <c r="V37" s="21"/>
      <c r="W37" s="21"/>
      <c r="X37" s="21"/>
      <c r="Y37" s="21"/>
    </row>
    <row r="38" spans="1:25" x14ac:dyDescent="0.25">
      <c r="A38" s="43">
        <v>34</v>
      </c>
      <c r="B38" s="40"/>
      <c r="C38" s="44">
        <v>0.15</v>
      </c>
      <c r="D38" s="44">
        <v>7.4999999999999997E-2</v>
      </c>
      <c r="E38" s="45">
        <f t="shared" si="3"/>
        <v>7.4999999999999997E-2</v>
      </c>
      <c r="F38" s="46">
        <v>15</v>
      </c>
      <c r="G38" s="47">
        <v>51.6</v>
      </c>
      <c r="H38" s="47">
        <v>26.5</v>
      </c>
      <c r="I38" s="47">
        <v>50.5</v>
      </c>
      <c r="J38" s="47">
        <v>49.9</v>
      </c>
      <c r="K38" s="47">
        <v>47.7</v>
      </c>
      <c r="L38" s="47">
        <v>50.5</v>
      </c>
      <c r="M38" s="47">
        <v>49.9</v>
      </c>
      <c r="N38" s="47">
        <v>50</v>
      </c>
      <c r="O38" s="47">
        <v>50.6</v>
      </c>
      <c r="P38" s="47">
        <v>50.3</v>
      </c>
      <c r="Q38" s="47">
        <v>49.4</v>
      </c>
      <c r="R38" s="21"/>
      <c r="S38" s="21"/>
      <c r="T38" s="21"/>
      <c r="U38" s="21"/>
      <c r="V38" s="21"/>
      <c r="W38" s="21"/>
      <c r="X38" s="21"/>
      <c r="Y38" s="21"/>
    </row>
    <row r="39" spans="1:25" x14ac:dyDescent="0.25">
      <c r="A39" s="43">
        <v>35</v>
      </c>
      <c r="B39" s="40"/>
      <c r="C39" s="44">
        <v>0.15</v>
      </c>
      <c r="D39" s="44">
        <v>7.4999999999999997E-2</v>
      </c>
      <c r="E39" s="45">
        <f t="shared" si="3"/>
        <v>7.4999999999999997E-2</v>
      </c>
      <c r="F39" s="46">
        <v>15</v>
      </c>
      <c r="G39" s="47">
        <v>51.5</v>
      </c>
      <c r="H39" s="47">
        <v>26.5</v>
      </c>
      <c r="I39" s="47">
        <v>50.5</v>
      </c>
      <c r="J39" s="47">
        <v>49.9</v>
      </c>
      <c r="K39" s="47">
        <v>47.7</v>
      </c>
      <c r="L39" s="47">
        <v>50.5</v>
      </c>
      <c r="M39" s="47">
        <v>49.9</v>
      </c>
      <c r="N39" s="47">
        <v>50</v>
      </c>
      <c r="O39" s="47">
        <v>50.6</v>
      </c>
      <c r="P39" s="47">
        <v>50.3</v>
      </c>
      <c r="Q39" s="47">
        <v>49.4</v>
      </c>
      <c r="R39" s="21"/>
      <c r="S39" s="21"/>
      <c r="T39" s="21"/>
      <c r="U39" s="21"/>
      <c r="V39" s="21"/>
      <c r="W39" s="21"/>
      <c r="X39" s="21"/>
      <c r="Y39" s="21"/>
    </row>
    <row r="40" spans="1:25" x14ac:dyDescent="0.25">
      <c r="A40" s="43">
        <v>36</v>
      </c>
      <c r="B40" s="40"/>
      <c r="C40" s="44">
        <v>0.15</v>
      </c>
      <c r="D40" s="44">
        <v>7.4999999999999997E-2</v>
      </c>
      <c r="E40" s="45">
        <f t="shared" si="3"/>
        <v>7.4999999999999997E-2</v>
      </c>
      <c r="F40" s="46">
        <v>15</v>
      </c>
      <c r="G40" s="47">
        <v>51.5</v>
      </c>
      <c r="H40" s="47">
        <v>26.6</v>
      </c>
      <c r="I40" s="47">
        <v>50.6</v>
      </c>
      <c r="J40" s="47">
        <v>50</v>
      </c>
      <c r="K40" s="47">
        <v>47.8</v>
      </c>
      <c r="L40" s="47">
        <v>50.6</v>
      </c>
      <c r="M40" s="47">
        <v>50</v>
      </c>
      <c r="N40" s="47">
        <v>50</v>
      </c>
      <c r="O40" s="47">
        <v>50.7</v>
      </c>
      <c r="P40" s="47">
        <v>50.4</v>
      </c>
      <c r="Q40" s="47">
        <v>49.5</v>
      </c>
      <c r="R40" s="21"/>
      <c r="S40" s="21"/>
      <c r="T40" s="21"/>
      <c r="U40" s="21"/>
      <c r="V40" s="21"/>
      <c r="W40" s="21"/>
      <c r="X40" s="21"/>
      <c r="Y40" s="21"/>
    </row>
    <row r="41" spans="1:25" x14ac:dyDescent="0.25">
      <c r="A41" s="43">
        <v>37</v>
      </c>
      <c r="B41" s="40"/>
      <c r="C41" s="44">
        <v>0.15</v>
      </c>
      <c r="D41" s="44">
        <v>7.4999999999999997E-2</v>
      </c>
      <c r="E41" s="45">
        <f t="shared" si="3"/>
        <v>7.4999999999999997E-2</v>
      </c>
      <c r="F41" s="46">
        <v>15</v>
      </c>
      <c r="G41" s="47">
        <v>51.5</v>
      </c>
      <c r="H41" s="47">
        <v>26.6</v>
      </c>
      <c r="I41" s="47">
        <v>50.6</v>
      </c>
      <c r="J41" s="47">
        <v>50</v>
      </c>
      <c r="K41" s="47">
        <v>47.8</v>
      </c>
      <c r="L41" s="47">
        <v>50.4</v>
      </c>
      <c r="M41" s="47">
        <v>50</v>
      </c>
      <c r="N41" s="47">
        <v>50</v>
      </c>
      <c r="O41" s="47">
        <v>50.7</v>
      </c>
      <c r="P41" s="47">
        <v>50.4</v>
      </c>
      <c r="Q41" s="47">
        <v>49.5</v>
      </c>
      <c r="R41" s="21"/>
      <c r="S41" s="21"/>
      <c r="T41" s="21"/>
      <c r="U41" s="21"/>
      <c r="V41" s="21"/>
      <c r="W41" s="21"/>
      <c r="X41" s="21"/>
      <c r="Y41" s="21"/>
    </row>
    <row r="42" spans="1:25" x14ac:dyDescent="0.25">
      <c r="A42" s="43">
        <v>38</v>
      </c>
      <c r="B42" s="40"/>
      <c r="C42" s="44">
        <v>0.15</v>
      </c>
      <c r="D42" s="44">
        <v>7.4999999999999997E-2</v>
      </c>
      <c r="E42" s="45">
        <f t="shared" si="3"/>
        <v>7.4999999999999997E-2</v>
      </c>
      <c r="F42" s="46">
        <v>15</v>
      </c>
      <c r="G42" s="47">
        <v>51.5</v>
      </c>
      <c r="H42" s="47">
        <v>26.6</v>
      </c>
      <c r="I42" s="47">
        <v>50.6</v>
      </c>
      <c r="J42" s="47">
        <v>50</v>
      </c>
      <c r="K42" s="47">
        <v>47.8</v>
      </c>
      <c r="L42" s="47">
        <v>50.4</v>
      </c>
      <c r="M42" s="47">
        <v>50</v>
      </c>
      <c r="N42" s="47">
        <v>49.9</v>
      </c>
      <c r="O42" s="47">
        <v>50.7</v>
      </c>
      <c r="P42" s="47">
        <v>50.2</v>
      </c>
      <c r="Q42" s="47">
        <v>49.400000000000006</v>
      </c>
      <c r="R42" s="21"/>
      <c r="S42" s="21"/>
      <c r="T42" s="21"/>
      <c r="U42" s="21"/>
      <c r="V42" s="21"/>
      <c r="W42" s="21"/>
      <c r="X42" s="21"/>
      <c r="Y42" s="21"/>
    </row>
    <row r="43" spans="1:25" x14ac:dyDescent="0.25">
      <c r="A43" s="43">
        <v>39</v>
      </c>
      <c r="B43" s="40"/>
      <c r="C43" s="44">
        <v>0.15</v>
      </c>
      <c r="D43" s="44">
        <v>7.4999999999999997E-2</v>
      </c>
      <c r="E43" s="45">
        <f t="shared" si="3"/>
        <v>7.4999999999999997E-2</v>
      </c>
      <c r="F43" s="46">
        <v>15</v>
      </c>
      <c r="G43" s="47">
        <v>51.45</v>
      </c>
      <c r="H43" s="47">
        <v>26.5</v>
      </c>
      <c r="I43" s="47">
        <v>50.5</v>
      </c>
      <c r="J43" s="47">
        <v>49.9</v>
      </c>
      <c r="K43" s="47">
        <v>47.5</v>
      </c>
      <c r="L43" s="47">
        <v>50.3</v>
      </c>
      <c r="M43" s="47">
        <v>49.9</v>
      </c>
      <c r="N43" s="47">
        <v>49.8</v>
      </c>
      <c r="O43" s="47">
        <v>50.6</v>
      </c>
      <c r="P43" s="47">
        <v>50.1</v>
      </c>
      <c r="Q43" s="47">
        <v>49.3</v>
      </c>
      <c r="R43" s="21"/>
      <c r="S43" s="21"/>
      <c r="T43" s="21"/>
      <c r="U43" s="21"/>
      <c r="V43" s="21"/>
      <c r="W43" s="21"/>
      <c r="X43" s="21"/>
      <c r="Y43" s="21"/>
    </row>
    <row r="44" spans="1:25" x14ac:dyDescent="0.25">
      <c r="A44" s="43">
        <v>40</v>
      </c>
      <c r="B44" s="40"/>
      <c r="C44" s="44">
        <v>0.15</v>
      </c>
      <c r="D44" s="44">
        <v>7.4999999999999997E-2</v>
      </c>
      <c r="E44" s="45">
        <f t="shared" si="3"/>
        <v>7.4999999999999997E-2</v>
      </c>
      <c r="F44" s="46">
        <v>15</v>
      </c>
      <c r="G44" s="47">
        <v>51.4</v>
      </c>
      <c r="H44" s="47">
        <v>26.5</v>
      </c>
      <c r="I44" s="47">
        <v>50.5</v>
      </c>
      <c r="J44" s="47">
        <v>49.9</v>
      </c>
      <c r="K44" s="47">
        <v>47.4</v>
      </c>
      <c r="L44" s="47">
        <v>50.3</v>
      </c>
      <c r="M44" s="47">
        <v>49.9</v>
      </c>
      <c r="N44" s="47">
        <v>49.8</v>
      </c>
      <c r="O44" s="47">
        <v>50.6</v>
      </c>
      <c r="P44" s="47">
        <v>50.1</v>
      </c>
      <c r="Q44" s="47">
        <v>49.2</v>
      </c>
      <c r="R44" s="21"/>
      <c r="S44" s="21"/>
      <c r="T44" s="21"/>
      <c r="U44" s="21"/>
      <c r="V44" s="21"/>
      <c r="W44" s="21"/>
      <c r="X44" s="21"/>
      <c r="Y44" s="21"/>
    </row>
    <row r="45" spans="1:25" x14ac:dyDescent="0.25">
      <c r="A45" s="40"/>
      <c r="B45" s="40"/>
      <c r="C45" s="43"/>
      <c r="D45" s="43"/>
      <c r="E45" s="43"/>
      <c r="F45" s="48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21"/>
      <c r="S45" s="21"/>
      <c r="T45" s="21"/>
      <c r="U45" s="21"/>
      <c r="V45" s="21"/>
      <c r="W45" s="21"/>
      <c r="X45" s="21"/>
      <c r="Y45" s="21"/>
    </row>
    <row r="46" spans="1:25" x14ac:dyDescent="0.25">
      <c r="A46" s="43">
        <v>41</v>
      </c>
      <c r="B46" s="43" t="s">
        <v>51</v>
      </c>
      <c r="C46" s="44">
        <v>0.15</v>
      </c>
      <c r="D46" s="44">
        <v>0.1</v>
      </c>
      <c r="E46" s="45">
        <f t="shared" ref="E46:E55" si="4">C46-D46</f>
        <v>4.9999999999999989E-2</v>
      </c>
      <c r="F46" s="46">
        <v>10</v>
      </c>
      <c r="G46" s="47">
        <v>50.1</v>
      </c>
      <c r="H46" s="47">
        <v>27.5</v>
      </c>
      <c r="I46" s="47">
        <v>49.9</v>
      </c>
      <c r="J46" s="47">
        <v>49.8</v>
      </c>
      <c r="K46" s="47">
        <v>47.25</v>
      </c>
      <c r="L46" s="47">
        <v>49.6</v>
      </c>
      <c r="M46" s="47">
        <v>49.4</v>
      </c>
      <c r="N46" s="47">
        <v>49.099999999999994</v>
      </c>
      <c r="O46" s="47">
        <v>49.9</v>
      </c>
      <c r="P46" s="47">
        <v>49.4</v>
      </c>
      <c r="Q46" s="47">
        <v>48.2</v>
      </c>
      <c r="R46" s="21"/>
      <c r="S46" s="21"/>
      <c r="T46" s="21"/>
      <c r="U46" s="21"/>
      <c r="V46" s="21"/>
      <c r="W46" s="21"/>
      <c r="X46" s="21"/>
      <c r="Y46" s="21"/>
    </row>
    <row r="47" spans="1:25" x14ac:dyDescent="0.25">
      <c r="A47" s="43">
        <v>42</v>
      </c>
      <c r="B47" s="40"/>
      <c r="C47" s="44">
        <v>0.15</v>
      </c>
      <c r="D47" s="44">
        <v>0.1</v>
      </c>
      <c r="E47" s="45">
        <f t="shared" si="4"/>
        <v>4.9999999999999989E-2</v>
      </c>
      <c r="F47" s="46">
        <v>10</v>
      </c>
      <c r="G47" s="47">
        <v>50.2</v>
      </c>
      <c r="H47" s="47">
        <v>27.3</v>
      </c>
      <c r="I47" s="47">
        <v>49.9</v>
      </c>
      <c r="J47" s="47">
        <v>49.8</v>
      </c>
      <c r="K47" s="47">
        <v>47.25</v>
      </c>
      <c r="L47" s="47">
        <v>49.6</v>
      </c>
      <c r="M47" s="47">
        <v>49.6</v>
      </c>
      <c r="N47" s="47">
        <v>49.099999999999994</v>
      </c>
      <c r="O47" s="47">
        <v>50.1</v>
      </c>
      <c r="P47" s="47">
        <v>49.4</v>
      </c>
      <c r="Q47" s="47">
        <v>48.2</v>
      </c>
      <c r="R47" s="21"/>
      <c r="S47" s="21"/>
      <c r="T47" s="21"/>
      <c r="U47" s="21"/>
      <c r="V47" s="21"/>
      <c r="W47" s="21"/>
      <c r="X47" s="21"/>
      <c r="Y47" s="21"/>
    </row>
    <row r="48" spans="1:25" x14ac:dyDescent="0.25">
      <c r="A48" s="43">
        <v>43</v>
      </c>
      <c r="B48" s="40"/>
      <c r="C48" s="44">
        <v>0.15</v>
      </c>
      <c r="D48" s="44">
        <v>0.1</v>
      </c>
      <c r="E48" s="45">
        <f t="shared" si="4"/>
        <v>4.9999999999999989E-2</v>
      </c>
      <c r="F48" s="46">
        <v>10</v>
      </c>
      <c r="G48" s="47">
        <v>50.5</v>
      </c>
      <c r="H48" s="47">
        <v>27.3</v>
      </c>
      <c r="I48" s="47">
        <v>50.2</v>
      </c>
      <c r="J48" s="47">
        <v>50</v>
      </c>
      <c r="K48" s="47">
        <v>47.45</v>
      </c>
      <c r="L48" s="47">
        <v>49.9</v>
      </c>
      <c r="M48" s="47">
        <v>49.7</v>
      </c>
      <c r="N48" s="47">
        <v>49.3</v>
      </c>
      <c r="O48" s="47">
        <v>50.2</v>
      </c>
      <c r="P48" s="47">
        <v>49.7</v>
      </c>
      <c r="Q48" s="47">
        <v>48.5</v>
      </c>
      <c r="R48" s="21"/>
      <c r="S48" s="21"/>
      <c r="T48" s="21"/>
      <c r="U48" s="21"/>
      <c r="V48" s="21"/>
      <c r="W48" s="21"/>
      <c r="X48" s="21"/>
      <c r="Y48" s="21"/>
    </row>
    <row r="49" spans="1:25" x14ac:dyDescent="0.25">
      <c r="A49" s="43">
        <v>44</v>
      </c>
      <c r="B49" s="40"/>
      <c r="C49" s="44">
        <v>0.15</v>
      </c>
      <c r="D49" s="44">
        <v>0.1</v>
      </c>
      <c r="E49" s="45">
        <f t="shared" si="4"/>
        <v>4.9999999999999989E-2</v>
      </c>
      <c r="F49" s="46">
        <v>10</v>
      </c>
      <c r="G49" s="47">
        <v>50.7</v>
      </c>
      <c r="H49" s="47">
        <v>27.4</v>
      </c>
      <c r="I49" s="47">
        <v>50.5</v>
      </c>
      <c r="J49" s="47">
        <v>50.1</v>
      </c>
      <c r="K49" s="47">
        <v>47.5</v>
      </c>
      <c r="L49" s="47">
        <v>50.1</v>
      </c>
      <c r="M49" s="47">
        <v>49.9</v>
      </c>
      <c r="N49" s="47">
        <v>49.4</v>
      </c>
      <c r="O49" s="47">
        <v>50.5</v>
      </c>
      <c r="P49" s="47">
        <v>49.8</v>
      </c>
      <c r="Q49" s="47">
        <v>48.5</v>
      </c>
      <c r="R49" s="21"/>
      <c r="S49" s="21"/>
      <c r="T49" s="21"/>
      <c r="U49" s="21"/>
      <c r="V49" s="21"/>
      <c r="W49" s="21"/>
      <c r="X49" s="21"/>
      <c r="Y49" s="21"/>
    </row>
    <row r="50" spans="1:25" x14ac:dyDescent="0.25">
      <c r="A50" s="43">
        <v>45</v>
      </c>
      <c r="B50" s="40"/>
      <c r="C50" s="44">
        <v>0.15</v>
      </c>
      <c r="D50" s="44">
        <v>0.1</v>
      </c>
      <c r="E50" s="45">
        <f t="shared" si="4"/>
        <v>4.9999999999999989E-2</v>
      </c>
      <c r="F50" s="46">
        <v>10</v>
      </c>
      <c r="G50" s="47">
        <v>50.7</v>
      </c>
      <c r="H50" s="47">
        <v>27.4</v>
      </c>
      <c r="I50" s="47">
        <v>50.5</v>
      </c>
      <c r="J50" s="47">
        <v>50.3</v>
      </c>
      <c r="K50" s="47">
        <v>47.3</v>
      </c>
      <c r="L50" s="47">
        <v>50.1</v>
      </c>
      <c r="M50" s="47">
        <v>49.9</v>
      </c>
      <c r="N50" s="47">
        <v>49.5</v>
      </c>
      <c r="O50" s="47">
        <v>50.5</v>
      </c>
      <c r="P50" s="47">
        <v>49.9</v>
      </c>
      <c r="Q50" s="47">
        <v>48.6</v>
      </c>
      <c r="R50" s="21"/>
      <c r="S50" s="21"/>
      <c r="T50" s="21"/>
      <c r="U50" s="21"/>
      <c r="V50" s="21"/>
      <c r="W50" s="21"/>
      <c r="X50" s="21"/>
      <c r="Y50" s="21"/>
    </row>
    <row r="51" spans="1:25" x14ac:dyDescent="0.25">
      <c r="A51" s="43">
        <v>46</v>
      </c>
      <c r="B51" s="40"/>
      <c r="C51" s="44">
        <v>0.15</v>
      </c>
      <c r="D51" s="44">
        <v>0.1</v>
      </c>
      <c r="E51" s="45">
        <f t="shared" si="4"/>
        <v>4.9999999999999989E-2</v>
      </c>
      <c r="F51" s="46">
        <v>10</v>
      </c>
      <c r="G51" s="47">
        <v>50.7</v>
      </c>
      <c r="H51" s="47">
        <v>27.4</v>
      </c>
      <c r="I51" s="47">
        <v>50.5</v>
      </c>
      <c r="J51" s="47">
        <v>50.3</v>
      </c>
      <c r="K51" s="47">
        <v>47.25</v>
      </c>
      <c r="L51" s="47">
        <v>50.1</v>
      </c>
      <c r="M51" s="47">
        <v>50.1</v>
      </c>
      <c r="N51" s="47">
        <v>49.5</v>
      </c>
      <c r="O51" s="47">
        <v>50.7</v>
      </c>
      <c r="P51" s="47">
        <v>49.9</v>
      </c>
      <c r="Q51" s="47">
        <v>48.6</v>
      </c>
      <c r="R51" s="21"/>
      <c r="S51" s="21"/>
      <c r="T51" s="21"/>
      <c r="U51" s="21"/>
      <c r="V51" s="21"/>
      <c r="W51" s="21"/>
      <c r="X51" s="21"/>
      <c r="Y51" s="21"/>
    </row>
    <row r="52" spans="1:25" x14ac:dyDescent="0.25">
      <c r="A52" s="43">
        <v>47</v>
      </c>
      <c r="B52" s="40"/>
      <c r="C52" s="44">
        <v>0.15</v>
      </c>
      <c r="D52" s="44">
        <v>0.1</v>
      </c>
      <c r="E52" s="45">
        <f t="shared" si="4"/>
        <v>4.9999999999999989E-2</v>
      </c>
      <c r="F52" s="46">
        <v>10</v>
      </c>
      <c r="G52" s="47">
        <v>51</v>
      </c>
      <c r="H52" s="47">
        <v>27.5</v>
      </c>
      <c r="I52" s="47">
        <v>50.8</v>
      </c>
      <c r="J52" s="47">
        <v>50.6</v>
      </c>
      <c r="K52" s="47">
        <v>47.7</v>
      </c>
      <c r="L52" s="47">
        <v>50.4</v>
      </c>
      <c r="M52" s="47">
        <v>50.2</v>
      </c>
      <c r="N52" s="47">
        <v>49.65</v>
      </c>
      <c r="O52" s="47">
        <v>50.8</v>
      </c>
      <c r="P52" s="47">
        <v>50.2</v>
      </c>
      <c r="Q52" s="47">
        <v>48.7</v>
      </c>
      <c r="R52" s="21"/>
      <c r="S52" s="21"/>
      <c r="T52" s="21"/>
      <c r="U52" s="21"/>
      <c r="V52" s="21"/>
      <c r="W52" s="21"/>
      <c r="X52" s="21"/>
      <c r="Y52" s="21"/>
    </row>
    <row r="53" spans="1:25" x14ac:dyDescent="0.25">
      <c r="A53" s="43">
        <v>48</v>
      </c>
      <c r="B53" s="40"/>
      <c r="C53" s="44">
        <v>0.15</v>
      </c>
      <c r="D53" s="44">
        <v>0.1</v>
      </c>
      <c r="E53" s="45">
        <f t="shared" si="4"/>
        <v>4.9999999999999989E-2</v>
      </c>
      <c r="F53" s="46">
        <v>10</v>
      </c>
      <c r="G53" s="47">
        <v>50.8</v>
      </c>
      <c r="H53" s="47">
        <v>27.5</v>
      </c>
      <c r="I53" s="47">
        <v>50.8</v>
      </c>
      <c r="J53" s="47">
        <v>50.6</v>
      </c>
      <c r="K53" s="47">
        <v>47.6</v>
      </c>
      <c r="L53" s="47">
        <v>50.4</v>
      </c>
      <c r="M53" s="47">
        <v>50.2</v>
      </c>
      <c r="N53" s="47">
        <v>49.65</v>
      </c>
      <c r="O53" s="47">
        <v>51</v>
      </c>
      <c r="P53" s="47">
        <v>50.2</v>
      </c>
      <c r="Q53" s="47">
        <v>48.849999999999994</v>
      </c>
      <c r="R53" s="21"/>
      <c r="S53" s="21"/>
      <c r="T53" s="21"/>
      <c r="U53" s="21"/>
      <c r="V53" s="21"/>
      <c r="W53" s="21"/>
      <c r="X53" s="21"/>
      <c r="Y53" s="21"/>
    </row>
    <row r="54" spans="1:25" x14ac:dyDescent="0.25">
      <c r="A54" s="43">
        <v>49</v>
      </c>
      <c r="B54" s="40"/>
      <c r="C54" s="44">
        <v>0.15</v>
      </c>
      <c r="D54" s="44">
        <v>0.1</v>
      </c>
      <c r="E54" s="45">
        <f t="shared" si="4"/>
        <v>4.9999999999999989E-2</v>
      </c>
      <c r="F54" s="46">
        <v>10</v>
      </c>
      <c r="G54" s="47">
        <v>50.9</v>
      </c>
      <c r="H54" s="47">
        <v>27.6</v>
      </c>
      <c r="I54" s="47">
        <v>50.9</v>
      </c>
      <c r="J54" s="47">
        <v>50.5</v>
      </c>
      <c r="K54" s="47">
        <v>47.7</v>
      </c>
      <c r="L54" s="47">
        <v>50.5</v>
      </c>
      <c r="M54" s="47">
        <v>50.3</v>
      </c>
      <c r="N54" s="47">
        <v>49.85</v>
      </c>
      <c r="O54" s="47">
        <v>51.1</v>
      </c>
      <c r="P54" s="47">
        <v>50.3</v>
      </c>
      <c r="Q54" s="47">
        <v>48.9</v>
      </c>
      <c r="R54" s="21"/>
      <c r="S54" s="21"/>
      <c r="T54" s="21"/>
      <c r="U54" s="21"/>
      <c r="V54" s="21"/>
      <c r="W54" s="21"/>
      <c r="X54" s="21"/>
      <c r="Y54" s="21"/>
    </row>
    <row r="55" spans="1:25" x14ac:dyDescent="0.25">
      <c r="A55" s="43">
        <v>50</v>
      </c>
      <c r="B55" s="40"/>
      <c r="C55" s="44">
        <v>0.15</v>
      </c>
      <c r="D55" s="44">
        <v>0.1</v>
      </c>
      <c r="E55" s="45">
        <f t="shared" si="4"/>
        <v>4.9999999999999989E-2</v>
      </c>
      <c r="F55" s="46">
        <v>10</v>
      </c>
      <c r="G55" s="47">
        <v>50.8</v>
      </c>
      <c r="H55" s="47">
        <v>27.4</v>
      </c>
      <c r="I55" s="47">
        <v>51</v>
      </c>
      <c r="J55" s="47">
        <v>50.6</v>
      </c>
      <c r="K55" s="47">
        <v>47.9</v>
      </c>
      <c r="L55" s="47">
        <v>50.6</v>
      </c>
      <c r="M55" s="47">
        <v>50.4</v>
      </c>
      <c r="N55" s="47">
        <v>49.95</v>
      </c>
      <c r="O55" s="47">
        <v>51</v>
      </c>
      <c r="P55" s="47">
        <v>50.4</v>
      </c>
      <c r="Q55" s="47">
        <v>48.9</v>
      </c>
      <c r="R55" s="21"/>
      <c r="S55" s="21"/>
      <c r="T55" s="21"/>
      <c r="U55" s="21"/>
      <c r="V55" s="21"/>
      <c r="W55" s="21"/>
      <c r="X55" s="21"/>
      <c r="Y55" s="21"/>
    </row>
    <row r="56" spans="1:25" x14ac:dyDescent="0.25">
      <c r="A56" s="40"/>
      <c r="B56" s="40"/>
      <c r="C56" s="43"/>
      <c r="D56" s="43"/>
      <c r="E56" s="43"/>
      <c r="F56" s="48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21"/>
      <c r="S56" s="21"/>
      <c r="T56" s="21"/>
      <c r="U56" s="21"/>
      <c r="V56" s="21"/>
      <c r="W56" s="21"/>
      <c r="X56" s="21"/>
      <c r="Y56" s="21"/>
    </row>
    <row r="57" spans="1:25" x14ac:dyDescent="0.25">
      <c r="A57" s="43">
        <v>51</v>
      </c>
      <c r="B57" s="43" t="s">
        <v>52</v>
      </c>
      <c r="C57" s="49">
        <f t="shared" ref="C57:C66" si="5">2.1/20</f>
        <v>0.10500000000000001</v>
      </c>
      <c r="D57" s="49">
        <f t="shared" ref="D57:D66" si="6">2/20</f>
        <v>0.1</v>
      </c>
      <c r="E57" s="50">
        <f t="shared" ref="E57:E66" si="7">C57-D57</f>
        <v>5.0000000000000044E-3</v>
      </c>
      <c r="F57" s="46">
        <v>5</v>
      </c>
      <c r="G57" s="47">
        <v>50.7</v>
      </c>
      <c r="H57" s="47">
        <v>28.4</v>
      </c>
      <c r="I57" s="47">
        <v>50.3</v>
      </c>
      <c r="J57" s="47">
        <v>50.1</v>
      </c>
      <c r="K57" s="47">
        <v>46.900000000000006</v>
      </c>
      <c r="L57" s="47">
        <v>49.9</v>
      </c>
      <c r="M57" s="47">
        <v>49.9</v>
      </c>
      <c r="N57" s="47">
        <v>48.95</v>
      </c>
      <c r="O57" s="47">
        <v>50.5</v>
      </c>
      <c r="P57" s="47">
        <v>49.5</v>
      </c>
      <c r="Q57" s="47">
        <v>48.400000000000006</v>
      </c>
      <c r="R57" s="21"/>
      <c r="S57" s="21"/>
      <c r="T57" s="21"/>
      <c r="U57" s="21"/>
      <c r="V57" s="21"/>
      <c r="W57" s="21"/>
      <c r="X57" s="21"/>
      <c r="Y57" s="21"/>
    </row>
    <row r="58" spans="1:25" x14ac:dyDescent="0.25">
      <c r="A58" s="43">
        <v>52</v>
      </c>
      <c r="B58" s="40"/>
      <c r="C58" s="44">
        <f t="shared" si="5"/>
        <v>0.10500000000000001</v>
      </c>
      <c r="D58" s="44">
        <f t="shared" si="6"/>
        <v>0.1</v>
      </c>
      <c r="E58" s="45">
        <f t="shared" si="7"/>
        <v>5.0000000000000044E-3</v>
      </c>
      <c r="F58" s="46">
        <v>5</v>
      </c>
      <c r="G58" s="47">
        <v>50.6</v>
      </c>
      <c r="H58" s="47">
        <v>28.7</v>
      </c>
      <c r="I58" s="47">
        <v>50.4</v>
      </c>
      <c r="J58" s="47">
        <v>50.2</v>
      </c>
      <c r="K58" s="47">
        <v>47.2</v>
      </c>
      <c r="L58" s="47">
        <v>50</v>
      </c>
      <c r="M58" s="47">
        <v>50</v>
      </c>
      <c r="N58" s="47">
        <v>49.05</v>
      </c>
      <c r="O58" s="47">
        <v>50.6</v>
      </c>
      <c r="P58" s="47">
        <v>49.6</v>
      </c>
      <c r="Q58" s="47">
        <v>48.5</v>
      </c>
      <c r="R58" s="21"/>
      <c r="S58" s="21"/>
      <c r="T58" s="21"/>
      <c r="U58" s="21"/>
      <c r="V58" s="21"/>
      <c r="W58" s="21"/>
      <c r="X58" s="21"/>
      <c r="Y58" s="21"/>
    </row>
    <row r="59" spans="1:25" x14ac:dyDescent="0.25">
      <c r="A59" s="43">
        <v>53</v>
      </c>
      <c r="B59" s="40"/>
      <c r="C59" s="44">
        <f t="shared" si="5"/>
        <v>0.10500000000000001</v>
      </c>
      <c r="D59" s="44">
        <f t="shared" si="6"/>
        <v>0.1</v>
      </c>
      <c r="E59" s="45">
        <f t="shared" si="7"/>
        <v>5.0000000000000044E-3</v>
      </c>
      <c r="F59" s="46">
        <v>5</v>
      </c>
      <c r="G59" s="47">
        <v>50.75</v>
      </c>
      <c r="H59" s="47">
        <v>28.700000000000003</v>
      </c>
      <c r="I59" s="47">
        <v>50.5</v>
      </c>
      <c r="J59" s="47">
        <v>50.1</v>
      </c>
      <c r="K59" s="47">
        <v>47.3</v>
      </c>
      <c r="L59" s="47">
        <v>50.1</v>
      </c>
      <c r="M59" s="47">
        <v>49.9</v>
      </c>
      <c r="N59" s="47">
        <v>49.05</v>
      </c>
      <c r="O59" s="47">
        <v>50.7</v>
      </c>
      <c r="P59" s="47">
        <v>49.7</v>
      </c>
      <c r="Q59" s="47">
        <v>48.599999999999994</v>
      </c>
      <c r="R59" s="21"/>
      <c r="S59" s="21"/>
      <c r="T59" s="21"/>
      <c r="U59" s="21"/>
      <c r="V59" s="21"/>
      <c r="W59" s="21"/>
      <c r="X59" s="21"/>
      <c r="Y59" s="21"/>
    </row>
    <row r="60" spans="1:25" x14ac:dyDescent="0.25">
      <c r="A60" s="43">
        <v>54</v>
      </c>
      <c r="B60" s="40"/>
      <c r="C60" s="44">
        <f t="shared" si="5"/>
        <v>0.10500000000000001</v>
      </c>
      <c r="D60" s="44">
        <f t="shared" si="6"/>
        <v>0.1</v>
      </c>
      <c r="E60" s="45">
        <f t="shared" si="7"/>
        <v>5.0000000000000044E-3</v>
      </c>
      <c r="F60" s="46">
        <v>5</v>
      </c>
      <c r="G60" s="47">
        <v>50.8</v>
      </c>
      <c r="H60" s="47">
        <v>28.8</v>
      </c>
      <c r="I60" s="47">
        <v>50.3</v>
      </c>
      <c r="J60" s="47">
        <v>50.1</v>
      </c>
      <c r="K60" s="47">
        <v>47.2</v>
      </c>
      <c r="L60" s="47">
        <v>49.9</v>
      </c>
      <c r="M60" s="47">
        <v>49.9</v>
      </c>
      <c r="N60" s="47">
        <v>48.95</v>
      </c>
      <c r="O60" s="47">
        <v>50.5</v>
      </c>
      <c r="P60" s="47">
        <v>49.5</v>
      </c>
      <c r="Q60" s="47">
        <v>48.400000000000006</v>
      </c>
      <c r="R60" s="21"/>
      <c r="S60" s="21"/>
      <c r="T60" s="21"/>
      <c r="U60" s="21"/>
      <c r="V60" s="21"/>
      <c r="W60" s="21"/>
      <c r="X60" s="21"/>
      <c r="Y60" s="21"/>
    </row>
    <row r="61" spans="1:25" x14ac:dyDescent="0.25">
      <c r="A61" s="43">
        <v>55</v>
      </c>
      <c r="B61" s="40"/>
      <c r="C61" s="44">
        <f t="shared" si="5"/>
        <v>0.10500000000000001</v>
      </c>
      <c r="D61" s="44">
        <f t="shared" si="6"/>
        <v>0.1</v>
      </c>
      <c r="E61" s="45">
        <f t="shared" si="7"/>
        <v>5.0000000000000044E-3</v>
      </c>
      <c r="F61" s="46">
        <v>5</v>
      </c>
      <c r="G61" s="47">
        <v>50.7</v>
      </c>
      <c r="H61" s="47">
        <v>28.7</v>
      </c>
      <c r="I61" s="47">
        <v>50.2</v>
      </c>
      <c r="J61" s="47">
        <v>50</v>
      </c>
      <c r="K61" s="47">
        <v>46.900000000000006</v>
      </c>
      <c r="L61" s="47">
        <v>49.8</v>
      </c>
      <c r="M61" s="47">
        <v>49.8</v>
      </c>
      <c r="N61" s="47">
        <v>48.9</v>
      </c>
      <c r="O61" s="47">
        <v>50.4</v>
      </c>
      <c r="P61" s="47">
        <v>49.5</v>
      </c>
      <c r="Q61" s="47">
        <v>48.3</v>
      </c>
      <c r="R61" s="21"/>
      <c r="S61" s="21"/>
      <c r="T61" s="21"/>
      <c r="U61" s="21"/>
      <c r="V61" s="21"/>
      <c r="W61" s="21"/>
      <c r="X61" s="21"/>
      <c r="Y61" s="21"/>
    </row>
    <row r="62" spans="1:25" x14ac:dyDescent="0.25">
      <c r="A62" s="43">
        <v>56</v>
      </c>
      <c r="B62" s="40"/>
      <c r="C62" s="44">
        <f t="shared" si="5"/>
        <v>0.10500000000000001</v>
      </c>
      <c r="D62" s="44">
        <f t="shared" si="6"/>
        <v>0.1</v>
      </c>
      <c r="E62" s="45">
        <f t="shared" si="7"/>
        <v>5.0000000000000044E-3</v>
      </c>
      <c r="F62" s="46">
        <v>5</v>
      </c>
      <c r="G62" s="47">
        <v>50.7</v>
      </c>
      <c r="H62" s="47">
        <v>28.799999999999997</v>
      </c>
      <c r="I62" s="47">
        <v>50.2</v>
      </c>
      <c r="J62" s="47">
        <v>50</v>
      </c>
      <c r="K62" s="47">
        <v>46.95</v>
      </c>
      <c r="L62" s="47">
        <v>49.8</v>
      </c>
      <c r="M62" s="47">
        <v>49.8</v>
      </c>
      <c r="N62" s="47">
        <v>48.9</v>
      </c>
      <c r="O62" s="47">
        <v>50.4</v>
      </c>
      <c r="P62" s="47">
        <v>49.5</v>
      </c>
      <c r="Q62" s="47">
        <v>48.4</v>
      </c>
      <c r="R62" s="21"/>
      <c r="S62" s="21"/>
      <c r="T62" s="21"/>
      <c r="U62" s="21"/>
      <c r="V62" s="21"/>
      <c r="W62" s="21"/>
      <c r="X62" s="21"/>
      <c r="Y62" s="21"/>
    </row>
    <row r="63" spans="1:25" x14ac:dyDescent="0.25">
      <c r="A63" s="43">
        <v>57</v>
      </c>
      <c r="B63" s="40"/>
      <c r="C63" s="44">
        <f t="shared" si="5"/>
        <v>0.10500000000000001</v>
      </c>
      <c r="D63" s="44">
        <f t="shared" si="6"/>
        <v>0.1</v>
      </c>
      <c r="E63" s="45">
        <f t="shared" si="7"/>
        <v>5.0000000000000044E-3</v>
      </c>
      <c r="F63" s="46">
        <v>5</v>
      </c>
      <c r="G63" s="47">
        <v>50.7</v>
      </c>
      <c r="H63" s="47">
        <v>28.799999999999997</v>
      </c>
      <c r="I63" s="47">
        <v>50.2</v>
      </c>
      <c r="J63" s="47">
        <v>50</v>
      </c>
      <c r="K63" s="47">
        <v>47</v>
      </c>
      <c r="L63" s="47">
        <v>49.8</v>
      </c>
      <c r="M63" s="47">
        <v>49.8</v>
      </c>
      <c r="N63" s="47">
        <v>48.9</v>
      </c>
      <c r="O63" s="47">
        <v>50.4</v>
      </c>
      <c r="P63" s="47">
        <v>49.5</v>
      </c>
      <c r="Q63" s="47">
        <v>48.3</v>
      </c>
      <c r="R63" s="21"/>
      <c r="S63" s="21"/>
      <c r="T63" s="21"/>
      <c r="U63" s="21"/>
      <c r="V63" s="21"/>
      <c r="W63" s="21"/>
      <c r="X63" s="21"/>
      <c r="Y63" s="21"/>
    </row>
    <row r="64" spans="1:25" x14ac:dyDescent="0.25">
      <c r="A64" s="43">
        <v>58</v>
      </c>
      <c r="B64" s="40"/>
      <c r="C64" s="44">
        <f t="shared" si="5"/>
        <v>0.10500000000000001</v>
      </c>
      <c r="D64" s="44">
        <f t="shared" si="6"/>
        <v>0.1</v>
      </c>
      <c r="E64" s="45">
        <f t="shared" si="7"/>
        <v>5.0000000000000044E-3</v>
      </c>
      <c r="F64" s="46">
        <v>5</v>
      </c>
      <c r="G64" s="47">
        <v>50.5</v>
      </c>
      <c r="H64" s="47">
        <v>28.7</v>
      </c>
      <c r="I64" s="47">
        <v>50.2</v>
      </c>
      <c r="J64" s="47">
        <v>50</v>
      </c>
      <c r="K64" s="47">
        <v>47</v>
      </c>
      <c r="L64" s="47">
        <v>49.8</v>
      </c>
      <c r="M64" s="47">
        <v>49.8</v>
      </c>
      <c r="N64" s="47">
        <v>48.9</v>
      </c>
      <c r="O64" s="47">
        <v>50.4</v>
      </c>
      <c r="P64" s="47">
        <v>49.5</v>
      </c>
      <c r="Q64" s="47">
        <v>48.3</v>
      </c>
      <c r="R64" s="21"/>
      <c r="S64" s="21"/>
      <c r="T64" s="21"/>
      <c r="U64" s="21"/>
      <c r="V64" s="21"/>
      <c r="W64" s="21"/>
      <c r="X64" s="21"/>
      <c r="Y64" s="21"/>
    </row>
    <row r="65" spans="1:25" x14ac:dyDescent="0.25">
      <c r="A65" s="43">
        <v>59</v>
      </c>
      <c r="B65" s="40"/>
      <c r="C65" s="44">
        <f t="shared" si="5"/>
        <v>0.10500000000000001</v>
      </c>
      <c r="D65" s="44">
        <f t="shared" si="6"/>
        <v>0.1</v>
      </c>
      <c r="E65" s="45">
        <f t="shared" si="7"/>
        <v>5.0000000000000044E-3</v>
      </c>
      <c r="F65" s="46">
        <v>5</v>
      </c>
      <c r="G65" s="47">
        <v>50.5</v>
      </c>
      <c r="H65" s="47">
        <v>28.7</v>
      </c>
      <c r="I65" s="47">
        <v>50.2</v>
      </c>
      <c r="J65" s="47">
        <v>50</v>
      </c>
      <c r="K65" s="47">
        <v>46.85</v>
      </c>
      <c r="L65" s="47">
        <v>49.8</v>
      </c>
      <c r="M65" s="47">
        <v>49.8</v>
      </c>
      <c r="N65" s="47">
        <v>48.9</v>
      </c>
      <c r="O65" s="47">
        <v>50.4</v>
      </c>
      <c r="P65" s="47">
        <v>49.5</v>
      </c>
      <c r="Q65" s="47">
        <v>48.2</v>
      </c>
      <c r="R65" s="21"/>
      <c r="S65" s="21"/>
      <c r="T65" s="21"/>
      <c r="U65" s="21"/>
      <c r="V65" s="21"/>
      <c r="W65" s="21"/>
      <c r="X65" s="21"/>
      <c r="Y65" s="21"/>
    </row>
    <row r="66" spans="1:25" x14ac:dyDescent="0.25">
      <c r="A66" s="43">
        <v>60</v>
      </c>
      <c r="B66" s="40"/>
      <c r="C66" s="44">
        <f t="shared" si="5"/>
        <v>0.10500000000000001</v>
      </c>
      <c r="D66" s="44">
        <f t="shared" si="6"/>
        <v>0.1</v>
      </c>
      <c r="E66" s="45">
        <f t="shared" si="7"/>
        <v>5.0000000000000044E-3</v>
      </c>
      <c r="F66" s="46">
        <v>5</v>
      </c>
      <c r="G66" s="47">
        <v>50.5</v>
      </c>
      <c r="H66" s="47">
        <v>28.9</v>
      </c>
      <c r="I66" s="47">
        <v>50.3</v>
      </c>
      <c r="J66" s="47">
        <v>50.1</v>
      </c>
      <c r="K66" s="47">
        <v>47.2</v>
      </c>
      <c r="L66" s="47">
        <v>49.9</v>
      </c>
      <c r="M66" s="47">
        <v>49.9</v>
      </c>
      <c r="N66" s="47">
        <v>48.95</v>
      </c>
      <c r="O66" s="47">
        <v>50.5</v>
      </c>
      <c r="P66" s="47">
        <v>49.5</v>
      </c>
      <c r="Q66" s="47">
        <v>48.3</v>
      </c>
      <c r="R66" s="21"/>
      <c r="S66" s="21"/>
      <c r="T66" s="21"/>
      <c r="U66" s="21"/>
      <c r="V66" s="21"/>
      <c r="W66" s="21"/>
      <c r="X66" s="21"/>
      <c r="Y66" s="21"/>
    </row>
    <row r="67" spans="1:25" x14ac:dyDescent="0.25">
      <c r="A67" s="40"/>
      <c r="B67" s="40"/>
      <c r="C67" s="43"/>
      <c r="D67" s="43"/>
      <c r="E67" s="43"/>
      <c r="F67" s="48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21"/>
      <c r="S67" s="21"/>
      <c r="T67" s="21"/>
      <c r="U67" s="21"/>
      <c r="V67" s="21"/>
      <c r="W67" s="21"/>
      <c r="X67" s="21"/>
      <c r="Y67" s="21"/>
    </row>
    <row r="68" spans="1:25" x14ac:dyDescent="0.25">
      <c r="A68" s="43">
        <v>61</v>
      </c>
      <c r="B68" s="43" t="s">
        <v>53</v>
      </c>
      <c r="C68" s="49">
        <f t="shared" ref="C68:C77" si="8">8.2/20</f>
        <v>0.41</v>
      </c>
      <c r="D68" s="49">
        <f t="shared" ref="D68:D77" si="9">2/20</f>
        <v>0.1</v>
      </c>
      <c r="E68" s="50">
        <f t="shared" ref="E68:E77" si="10">C68-D68</f>
        <v>0.30999999999999994</v>
      </c>
      <c r="F68" s="46">
        <v>25</v>
      </c>
      <c r="G68" s="47">
        <v>50.95</v>
      </c>
      <c r="H68" s="47">
        <v>27.9</v>
      </c>
      <c r="I68" s="47">
        <v>50.6</v>
      </c>
      <c r="J68" s="47">
        <v>49.8</v>
      </c>
      <c r="K68" s="47">
        <v>47.5</v>
      </c>
      <c r="L68" s="47">
        <v>50.4</v>
      </c>
      <c r="M68" s="47">
        <v>49.6</v>
      </c>
      <c r="N68" s="47">
        <v>49.55</v>
      </c>
      <c r="O68" s="51"/>
      <c r="P68" s="51"/>
      <c r="Q68" s="51"/>
      <c r="R68" s="21"/>
      <c r="S68" s="21"/>
      <c r="T68" s="21"/>
      <c r="U68" s="21"/>
      <c r="V68" s="21"/>
      <c r="W68" s="21"/>
      <c r="X68" s="21"/>
      <c r="Y68" s="21"/>
    </row>
    <row r="69" spans="1:25" x14ac:dyDescent="0.25">
      <c r="A69" s="43">
        <v>62</v>
      </c>
      <c r="B69" s="40"/>
      <c r="C69" s="44">
        <f t="shared" si="8"/>
        <v>0.41</v>
      </c>
      <c r="D69" s="44">
        <f t="shared" si="9"/>
        <v>0.1</v>
      </c>
      <c r="E69" s="45">
        <f t="shared" si="10"/>
        <v>0.30999999999999994</v>
      </c>
      <c r="F69" s="46">
        <v>25</v>
      </c>
      <c r="G69" s="47">
        <v>50.849999999999994</v>
      </c>
      <c r="H69" s="47">
        <v>27.9</v>
      </c>
      <c r="I69" s="47">
        <v>50.6</v>
      </c>
      <c r="J69" s="47">
        <v>49.8</v>
      </c>
      <c r="K69" s="47">
        <v>47.45</v>
      </c>
      <c r="L69" s="47">
        <v>50.4</v>
      </c>
      <c r="M69" s="47">
        <v>49.6</v>
      </c>
      <c r="N69" s="47">
        <v>49.55</v>
      </c>
      <c r="O69" s="51"/>
      <c r="P69" s="51"/>
      <c r="Q69" s="51"/>
      <c r="R69" s="21"/>
      <c r="S69" s="21"/>
      <c r="T69" s="21"/>
      <c r="U69" s="21"/>
      <c r="V69" s="21"/>
      <c r="W69" s="21"/>
      <c r="X69" s="21"/>
      <c r="Y69" s="21"/>
    </row>
    <row r="70" spans="1:25" x14ac:dyDescent="0.25">
      <c r="A70" s="43">
        <v>63</v>
      </c>
      <c r="B70" s="40"/>
      <c r="C70" s="44">
        <f t="shared" si="8"/>
        <v>0.41</v>
      </c>
      <c r="D70" s="44">
        <f t="shared" si="9"/>
        <v>0.1</v>
      </c>
      <c r="E70" s="45">
        <f t="shared" si="10"/>
        <v>0.30999999999999994</v>
      </c>
      <c r="F70" s="46">
        <v>25</v>
      </c>
      <c r="G70" s="47">
        <v>51</v>
      </c>
      <c r="H70" s="47">
        <v>27.9</v>
      </c>
      <c r="I70" s="47">
        <v>50.6</v>
      </c>
      <c r="J70" s="47">
        <v>49.8</v>
      </c>
      <c r="K70" s="47">
        <v>47.5</v>
      </c>
      <c r="L70" s="47">
        <v>50.4</v>
      </c>
      <c r="M70" s="47">
        <v>49.6</v>
      </c>
      <c r="N70" s="47">
        <v>49.55</v>
      </c>
      <c r="O70" s="51"/>
      <c r="P70" s="51"/>
      <c r="Q70" s="51"/>
      <c r="R70" s="21"/>
      <c r="S70" s="21"/>
      <c r="T70" s="21"/>
      <c r="U70" s="21"/>
      <c r="V70" s="21"/>
      <c r="W70" s="21"/>
      <c r="X70" s="21"/>
      <c r="Y70" s="21"/>
    </row>
    <row r="71" spans="1:25" x14ac:dyDescent="0.25">
      <c r="A71" s="43">
        <v>64</v>
      </c>
      <c r="B71" s="40"/>
      <c r="C71" s="44">
        <f t="shared" si="8"/>
        <v>0.41</v>
      </c>
      <c r="D71" s="44">
        <f t="shared" si="9"/>
        <v>0.1</v>
      </c>
      <c r="E71" s="45">
        <f t="shared" si="10"/>
        <v>0.30999999999999994</v>
      </c>
      <c r="F71" s="46">
        <v>25</v>
      </c>
      <c r="G71" s="47">
        <v>50.95</v>
      </c>
      <c r="H71" s="47">
        <v>27.9</v>
      </c>
      <c r="I71" s="47">
        <v>50.6</v>
      </c>
      <c r="J71" s="47">
        <v>49.8</v>
      </c>
      <c r="K71" s="47">
        <v>47.5</v>
      </c>
      <c r="L71" s="47">
        <v>50.4</v>
      </c>
      <c r="M71" s="47">
        <v>49.6</v>
      </c>
      <c r="N71" s="47">
        <v>49.55</v>
      </c>
      <c r="O71" s="51"/>
      <c r="P71" s="51"/>
      <c r="Q71" s="51"/>
      <c r="R71" s="21"/>
      <c r="S71" s="21"/>
      <c r="T71" s="21"/>
      <c r="U71" s="21"/>
      <c r="V71" s="21"/>
      <c r="W71" s="21"/>
      <c r="X71" s="21"/>
      <c r="Y71" s="21"/>
    </row>
    <row r="72" spans="1:25" x14ac:dyDescent="0.25">
      <c r="A72" s="43">
        <v>65</v>
      </c>
      <c r="B72" s="40"/>
      <c r="C72" s="44">
        <f t="shared" si="8"/>
        <v>0.41</v>
      </c>
      <c r="D72" s="44">
        <f t="shared" si="9"/>
        <v>0.1</v>
      </c>
      <c r="E72" s="45">
        <f t="shared" si="10"/>
        <v>0.30999999999999994</v>
      </c>
      <c r="F72" s="46">
        <v>25</v>
      </c>
      <c r="G72" s="47">
        <v>50.95</v>
      </c>
      <c r="H72" s="47">
        <v>27.8</v>
      </c>
      <c r="I72" s="47">
        <v>50.5</v>
      </c>
      <c r="J72" s="47">
        <v>49.7</v>
      </c>
      <c r="K72" s="47">
        <v>47.3</v>
      </c>
      <c r="L72" s="47">
        <v>50.3</v>
      </c>
      <c r="M72" s="47">
        <v>49.5</v>
      </c>
      <c r="N72" s="47">
        <v>49.45</v>
      </c>
      <c r="O72" s="51"/>
      <c r="P72" s="51"/>
      <c r="Q72" s="51"/>
      <c r="R72" s="21"/>
      <c r="S72" s="21"/>
      <c r="T72" s="21"/>
      <c r="U72" s="21"/>
      <c r="V72" s="21"/>
      <c r="W72" s="21"/>
      <c r="X72" s="21"/>
      <c r="Y72" s="21"/>
    </row>
    <row r="73" spans="1:25" x14ac:dyDescent="0.25">
      <c r="A73" s="43">
        <v>66</v>
      </c>
      <c r="B73" s="40"/>
      <c r="C73" s="44">
        <f t="shared" si="8"/>
        <v>0.41</v>
      </c>
      <c r="D73" s="44">
        <f t="shared" si="9"/>
        <v>0.1</v>
      </c>
      <c r="E73" s="45">
        <f t="shared" si="10"/>
        <v>0.30999999999999994</v>
      </c>
      <c r="F73" s="46">
        <v>25</v>
      </c>
      <c r="G73" s="47">
        <v>50.95</v>
      </c>
      <c r="H73" s="47">
        <v>27.8</v>
      </c>
      <c r="I73" s="47">
        <v>50.7</v>
      </c>
      <c r="J73" s="47">
        <v>49.7</v>
      </c>
      <c r="K73" s="47">
        <v>47.5</v>
      </c>
      <c r="L73" s="47">
        <v>50.5</v>
      </c>
      <c r="M73" s="47">
        <v>49.7</v>
      </c>
      <c r="N73" s="47">
        <v>49.599999999999994</v>
      </c>
      <c r="O73" s="51"/>
      <c r="P73" s="51"/>
      <c r="Q73" s="51"/>
      <c r="R73" s="21"/>
      <c r="S73" s="21"/>
      <c r="T73" s="21"/>
      <c r="U73" s="21"/>
      <c r="V73" s="21"/>
      <c r="W73" s="21"/>
      <c r="X73" s="21"/>
      <c r="Y73" s="21"/>
    </row>
    <row r="74" spans="1:25" x14ac:dyDescent="0.25">
      <c r="A74" s="43">
        <v>67</v>
      </c>
      <c r="B74" s="40"/>
      <c r="C74" s="44">
        <f t="shared" si="8"/>
        <v>0.41</v>
      </c>
      <c r="D74" s="44">
        <f t="shared" si="9"/>
        <v>0.1</v>
      </c>
      <c r="E74" s="45">
        <f t="shared" si="10"/>
        <v>0.30999999999999994</v>
      </c>
      <c r="F74" s="46">
        <v>25</v>
      </c>
      <c r="G74" s="47">
        <v>50.9</v>
      </c>
      <c r="H74" s="47">
        <v>27.8</v>
      </c>
      <c r="I74" s="47">
        <v>50.7</v>
      </c>
      <c r="J74" s="47">
        <v>49.7</v>
      </c>
      <c r="K74" s="47">
        <v>47.5</v>
      </c>
      <c r="L74" s="47">
        <v>50.5</v>
      </c>
      <c r="M74" s="47">
        <v>49.7</v>
      </c>
      <c r="N74" s="47">
        <v>49.65</v>
      </c>
      <c r="O74" s="51"/>
      <c r="P74" s="51"/>
      <c r="Q74" s="51"/>
      <c r="R74" s="21"/>
      <c r="S74" s="21"/>
      <c r="T74" s="21"/>
      <c r="U74" s="21"/>
      <c r="V74" s="21"/>
      <c r="W74" s="21"/>
      <c r="X74" s="21"/>
      <c r="Y74" s="21"/>
    </row>
    <row r="75" spans="1:25" x14ac:dyDescent="0.25">
      <c r="A75" s="43">
        <v>68</v>
      </c>
      <c r="B75" s="40"/>
      <c r="C75" s="44">
        <f t="shared" si="8"/>
        <v>0.41</v>
      </c>
      <c r="D75" s="44">
        <f t="shared" si="9"/>
        <v>0.1</v>
      </c>
      <c r="E75" s="45">
        <f t="shared" si="10"/>
        <v>0.30999999999999994</v>
      </c>
      <c r="F75" s="46">
        <v>25</v>
      </c>
      <c r="G75" s="47">
        <v>50.9</v>
      </c>
      <c r="H75" s="47">
        <v>27.8</v>
      </c>
      <c r="I75" s="47">
        <v>50.7</v>
      </c>
      <c r="J75" s="47">
        <v>49.7</v>
      </c>
      <c r="K75" s="47">
        <v>47.5</v>
      </c>
      <c r="L75" s="47">
        <v>50.5</v>
      </c>
      <c r="M75" s="47">
        <v>49.7</v>
      </c>
      <c r="N75" s="47">
        <v>49.65</v>
      </c>
      <c r="O75" s="51"/>
      <c r="P75" s="51"/>
      <c r="Q75" s="51"/>
      <c r="R75" s="21"/>
      <c r="S75" s="21"/>
      <c r="T75" s="21"/>
      <c r="U75" s="21"/>
      <c r="V75" s="21"/>
      <c r="W75" s="21"/>
      <c r="X75" s="21"/>
      <c r="Y75" s="21"/>
    </row>
    <row r="76" spans="1:25" x14ac:dyDescent="0.25">
      <c r="A76" s="43">
        <v>69</v>
      </c>
      <c r="B76" s="40"/>
      <c r="C76" s="44">
        <f t="shared" si="8"/>
        <v>0.41</v>
      </c>
      <c r="D76" s="44">
        <f t="shared" si="9"/>
        <v>0.1</v>
      </c>
      <c r="E76" s="45">
        <f t="shared" si="10"/>
        <v>0.30999999999999994</v>
      </c>
      <c r="F76" s="46">
        <v>25</v>
      </c>
      <c r="G76" s="47">
        <v>50.95</v>
      </c>
      <c r="H76" s="47">
        <v>27.8</v>
      </c>
      <c r="I76" s="47">
        <v>50.7</v>
      </c>
      <c r="J76" s="47">
        <v>49.7</v>
      </c>
      <c r="K76" s="47">
        <v>47.6</v>
      </c>
      <c r="L76" s="47">
        <v>50.5</v>
      </c>
      <c r="M76" s="47">
        <v>49.7</v>
      </c>
      <c r="N76" s="47">
        <v>49.65</v>
      </c>
      <c r="O76" s="51"/>
      <c r="P76" s="51"/>
      <c r="Q76" s="51"/>
      <c r="R76" s="21"/>
      <c r="S76" s="21"/>
      <c r="T76" s="21"/>
      <c r="U76" s="21"/>
      <c r="V76" s="21"/>
      <c r="W76" s="21"/>
      <c r="X76" s="21"/>
      <c r="Y76" s="21"/>
    </row>
    <row r="77" spans="1:25" x14ac:dyDescent="0.25">
      <c r="A77" s="43">
        <v>70</v>
      </c>
      <c r="B77" s="40"/>
      <c r="C77" s="44">
        <f t="shared" si="8"/>
        <v>0.41</v>
      </c>
      <c r="D77" s="44">
        <f t="shared" si="9"/>
        <v>0.1</v>
      </c>
      <c r="E77" s="45">
        <f t="shared" si="10"/>
        <v>0.30999999999999994</v>
      </c>
      <c r="F77" s="46">
        <v>25</v>
      </c>
      <c r="G77" s="47">
        <v>50.95</v>
      </c>
      <c r="H77" s="47">
        <v>27.8</v>
      </c>
      <c r="I77" s="47">
        <v>50.7</v>
      </c>
      <c r="J77" s="47">
        <v>49.7</v>
      </c>
      <c r="K77" s="47">
        <v>47.2</v>
      </c>
      <c r="L77" s="47">
        <v>50.5</v>
      </c>
      <c r="M77" s="47">
        <v>49.7</v>
      </c>
      <c r="N77" s="47">
        <v>49.55</v>
      </c>
      <c r="O77" s="51"/>
      <c r="P77" s="51"/>
      <c r="Q77" s="51"/>
      <c r="R77" s="21"/>
      <c r="S77" s="21"/>
      <c r="T77" s="21"/>
      <c r="U77" s="21"/>
      <c r="V77" s="21"/>
      <c r="W77" s="21"/>
      <c r="X77" s="21"/>
      <c r="Y77" s="21"/>
    </row>
    <row r="78" spans="1:25" x14ac:dyDescent="0.25">
      <c r="A78" s="40"/>
      <c r="B78" s="40"/>
      <c r="C78" s="45"/>
      <c r="D78" s="45"/>
      <c r="E78" s="45"/>
      <c r="F78" s="48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21"/>
      <c r="S78" s="21"/>
      <c r="T78" s="21"/>
      <c r="U78" s="21"/>
      <c r="V78" s="21"/>
      <c r="W78" s="21"/>
      <c r="X78" s="21"/>
      <c r="Y78" s="21"/>
    </row>
    <row r="79" spans="1:25" x14ac:dyDescent="0.25">
      <c r="A79" s="43">
        <v>71</v>
      </c>
      <c r="B79" s="43" t="s">
        <v>54</v>
      </c>
      <c r="C79" s="44">
        <v>0.3</v>
      </c>
      <c r="D79" s="44">
        <v>0.1</v>
      </c>
      <c r="E79" s="45">
        <f t="shared" ref="E79:E88" si="11">C79-D79</f>
        <v>0.19999999999999998</v>
      </c>
      <c r="F79" s="46">
        <v>20</v>
      </c>
      <c r="G79" s="47">
        <v>50.95</v>
      </c>
      <c r="H79" s="47">
        <v>28</v>
      </c>
      <c r="I79" s="47">
        <v>50.7</v>
      </c>
      <c r="J79" s="47">
        <v>49.9</v>
      </c>
      <c r="K79" s="47">
        <v>47.7</v>
      </c>
      <c r="L79" s="47">
        <v>50.5</v>
      </c>
      <c r="M79" s="47">
        <v>49.7</v>
      </c>
      <c r="N79" s="47">
        <v>49.65</v>
      </c>
      <c r="O79" s="51"/>
      <c r="P79" s="51"/>
      <c r="Q79" s="51"/>
      <c r="R79" s="21"/>
      <c r="S79" s="21"/>
      <c r="T79" s="21"/>
      <c r="U79" s="21"/>
      <c r="V79" s="21"/>
      <c r="W79" s="21"/>
      <c r="X79" s="21"/>
      <c r="Y79" s="21"/>
    </row>
    <row r="80" spans="1:25" x14ac:dyDescent="0.25">
      <c r="A80" s="43">
        <v>72</v>
      </c>
      <c r="B80" s="40"/>
      <c r="C80" s="44">
        <v>0.3</v>
      </c>
      <c r="D80" s="44">
        <v>0.1</v>
      </c>
      <c r="E80" s="45">
        <f t="shared" si="11"/>
        <v>0.19999999999999998</v>
      </c>
      <c r="F80" s="46">
        <v>20</v>
      </c>
      <c r="G80" s="47">
        <v>50.95</v>
      </c>
      <c r="H80" s="47">
        <v>28</v>
      </c>
      <c r="I80" s="47">
        <v>50.7</v>
      </c>
      <c r="J80" s="47">
        <v>49.9</v>
      </c>
      <c r="K80" s="47">
        <v>47.8</v>
      </c>
      <c r="L80" s="47">
        <v>50.5</v>
      </c>
      <c r="M80" s="47">
        <v>49.7</v>
      </c>
      <c r="N80" s="47">
        <v>49.65</v>
      </c>
      <c r="O80" s="51"/>
      <c r="P80" s="51"/>
      <c r="Q80" s="51"/>
      <c r="R80" s="21"/>
      <c r="S80" s="21"/>
      <c r="T80" s="21"/>
      <c r="U80" s="21"/>
      <c r="V80" s="21"/>
      <c r="W80" s="21"/>
      <c r="X80" s="21"/>
      <c r="Y80" s="21"/>
    </row>
    <row r="81" spans="1:25" x14ac:dyDescent="0.25">
      <c r="A81" s="43">
        <v>73</v>
      </c>
      <c r="B81" s="40"/>
      <c r="C81" s="44">
        <v>0.3</v>
      </c>
      <c r="D81" s="44">
        <v>0.1</v>
      </c>
      <c r="E81" s="45">
        <f t="shared" si="11"/>
        <v>0.19999999999999998</v>
      </c>
      <c r="F81" s="46">
        <v>20</v>
      </c>
      <c r="G81" s="47">
        <v>50.8</v>
      </c>
      <c r="H81" s="47">
        <v>27.9</v>
      </c>
      <c r="I81" s="47">
        <v>50.6</v>
      </c>
      <c r="J81" s="47">
        <v>49.8</v>
      </c>
      <c r="K81" s="47">
        <v>47.400000000000006</v>
      </c>
      <c r="L81" s="47">
        <v>50.4</v>
      </c>
      <c r="M81" s="47">
        <v>49.6</v>
      </c>
      <c r="N81" s="47">
        <v>49.55</v>
      </c>
      <c r="O81" s="51"/>
      <c r="P81" s="51"/>
      <c r="Q81" s="51"/>
      <c r="R81" s="21"/>
      <c r="S81" s="21"/>
      <c r="T81" s="21"/>
      <c r="U81" s="21"/>
      <c r="V81" s="21"/>
      <c r="W81" s="21"/>
      <c r="X81" s="21"/>
      <c r="Y81" s="21"/>
    </row>
    <row r="82" spans="1:25" x14ac:dyDescent="0.25">
      <c r="A82" s="43">
        <v>74</v>
      </c>
      <c r="B82" s="40"/>
      <c r="C82" s="44">
        <v>0.3</v>
      </c>
      <c r="D82" s="44">
        <v>0.1</v>
      </c>
      <c r="E82" s="45">
        <f t="shared" si="11"/>
        <v>0.19999999999999998</v>
      </c>
      <c r="F82" s="46">
        <v>20</v>
      </c>
      <c r="G82" s="47">
        <v>50.75</v>
      </c>
      <c r="H82" s="47">
        <v>27.9</v>
      </c>
      <c r="I82" s="47">
        <v>50.4</v>
      </c>
      <c r="J82" s="47">
        <v>49.6</v>
      </c>
      <c r="K82" s="47">
        <v>47.4</v>
      </c>
      <c r="L82" s="47">
        <v>50.2</v>
      </c>
      <c r="M82" s="47">
        <v>49.6</v>
      </c>
      <c r="N82" s="47">
        <v>49.55</v>
      </c>
      <c r="O82" s="51"/>
      <c r="P82" s="51"/>
      <c r="Q82" s="51"/>
      <c r="R82" s="21"/>
      <c r="S82" s="21"/>
      <c r="T82" s="21"/>
      <c r="U82" s="21"/>
      <c r="V82" s="21"/>
      <c r="W82" s="21"/>
      <c r="X82" s="21"/>
      <c r="Y82" s="21"/>
    </row>
    <row r="83" spans="1:25" x14ac:dyDescent="0.25">
      <c r="A83" s="43">
        <v>75</v>
      </c>
      <c r="B83" s="40"/>
      <c r="C83" s="44">
        <v>0.3</v>
      </c>
      <c r="D83" s="44">
        <v>0.1</v>
      </c>
      <c r="E83" s="45">
        <f t="shared" si="11"/>
        <v>0.19999999999999998</v>
      </c>
      <c r="F83" s="46">
        <v>20</v>
      </c>
      <c r="G83" s="47">
        <v>50.95</v>
      </c>
      <c r="H83" s="47">
        <v>28</v>
      </c>
      <c r="I83" s="47">
        <v>50.7</v>
      </c>
      <c r="J83" s="47">
        <v>49.9</v>
      </c>
      <c r="K83" s="47">
        <v>47.8</v>
      </c>
      <c r="L83" s="47">
        <v>50.5</v>
      </c>
      <c r="M83" s="47">
        <v>49.7</v>
      </c>
      <c r="N83" s="47">
        <v>49.65</v>
      </c>
      <c r="O83" s="51"/>
      <c r="P83" s="51"/>
      <c r="Q83" s="51"/>
      <c r="R83" s="21"/>
      <c r="S83" s="21"/>
      <c r="T83" s="21"/>
      <c r="U83" s="21"/>
      <c r="V83" s="21"/>
      <c r="W83" s="21"/>
      <c r="X83" s="21"/>
      <c r="Y83" s="21"/>
    </row>
    <row r="84" spans="1:25" x14ac:dyDescent="0.25">
      <c r="A84" s="43">
        <v>76</v>
      </c>
      <c r="B84" s="40"/>
      <c r="C84" s="44">
        <v>0.3</v>
      </c>
      <c r="D84" s="44">
        <v>0.1</v>
      </c>
      <c r="E84" s="45">
        <f t="shared" si="11"/>
        <v>0.19999999999999998</v>
      </c>
      <c r="F84" s="46">
        <v>20</v>
      </c>
      <c r="G84" s="47">
        <v>50.95</v>
      </c>
      <c r="H84" s="47">
        <v>28</v>
      </c>
      <c r="I84" s="47">
        <v>50.7</v>
      </c>
      <c r="J84" s="47">
        <v>49.9</v>
      </c>
      <c r="K84" s="47">
        <v>47.8</v>
      </c>
      <c r="L84" s="47">
        <v>50.5</v>
      </c>
      <c r="M84" s="47">
        <v>49.7</v>
      </c>
      <c r="N84" s="47">
        <v>49.65</v>
      </c>
      <c r="O84" s="51"/>
      <c r="P84" s="51"/>
      <c r="Q84" s="51"/>
      <c r="R84" s="21"/>
      <c r="S84" s="21"/>
      <c r="T84" s="21"/>
      <c r="U84" s="21"/>
      <c r="V84" s="21"/>
      <c r="W84" s="21"/>
      <c r="X84" s="21"/>
      <c r="Y84" s="21"/>
    </row>
    <row r="85" spans="1:25" x14ac:dyDescent="0.25">
      <c r="A85" s="43">
        <v>77</v>
      </c>
      <c r="B85" s="40"/>
      <c r="C85" s="44">
        <v>0.3</v>
      </c>
      <c r="D85" s="44">
        <v>0.1</v>
      </c>
      <c r="E85" s="45">
        <f t="shared" si="11"/>
        <v>0.19999999999999998</v>
      </c>
      <c r="F85" s="46">
        <v>20</v>
      </c>
      <c r="G85" s="47">
        <v>50.95</v>
      </c>
      <c r="H85" s="47">
        <v>27.9</v>
      </c>
      <c r="I85" s="47">
        <v>50.7</v>
      </c>
      <c r="J85" s="47">
        <v>49.9</v>
      </c>
      <c r="K85" s="47">
        <v>47.8</v>
      </c>
      <c r="L85" s="47">
        <v>50.5</v>
      </c>
      <c r="M85" s="47">
        <v>49.7</v>
      </c>
      <c r="N85" s="47">
        <v>49.65</v>
      </c>
      <c r="O85" s="51"/>
      <c r="P85" s="51"/>
      <c r="Q85" s="51"/>
      <c r="R85" s="21"/>
      <c r="S85" s="21"/>
      <c r="T85" s="21"/>
      <c r="U85" s="21"/>
      <c r="V85" s="21"/>
      <c r="W85" s="21"/>
      <c r="X85" s="21"/>
      <c r="Y85" s="21"/>
    </row>
    <row r="86" spans="1:25" x14ac:dyDescent="0.25">
      <c r="A86" s="43">
        <v>78</v>
      </c>
      <c r="B86" s="40"/>
      <c r="C86" s="44">
        <v>0.3</v>
      </c>
      <c r="D86" s="44">
        <v>0.1</v>
      </c>
      <c r="E86" s="45">
        <f t="shared" si="11"/>
        <v>0.19999999999999998</v>
      </c>
      <c r="F86" s="46">
        <v>20</v>
      </c>
      <c r="G86" s="47">
        <v>50.95</v>
      </c>
      <c r="H86" s="47">
        <v>27.9</v>
      </c>
      <c r="I86" s="47">
        <v>50.7</v>
      </c>
      <c r="J86" s="47">
        <v>49.9</v>
      </c>
      <c r="K86" s="47">
        <v>47.7</v>
      </c>
      <c r="L86" s="47">
        <v>50.5</v>
      </c>
      <c r="M86" s="47">
        <v>49.7</v>
      </c>
      <c r="N86" s="47">
        <v>49.65</v>
      </c>
      <c r="O86" s="51"/>
      <c r="P86" s="51"/>
      <c r="Q86" s="51"/>
      <c r="R86" s="21"/>
      <c r="S86" s="21"/>
      <c r="T86" s="21"/>
      <c r="U86" s="21"/>
      <c r="V86" s="21"/>
      <c r="W86" s="21"/>
      <c r="X86" s="21"/>
      <c r="Y86" s="21"/>
    </row>
    <row r="87" spans="1:25" x14ac:dyDescent="0.25">
      <c r="A87" s="43">
        <v>79</v>
      </c>
      <c r="B87" s="40"/>
      <c r="C87" s="44">
        <v>0.3</v>
      </c>
      <c r="D87" s="44">
        <v>0.1</v>
      </c>
      <c r="E87" s="45">
        <f t="shared" si="11"/>
        <v>0.19999999999999998</v>
      </c>
      <c r="F87" s="46">
        <v>20</v>
      </c>
      <c r="G87" s="47">
        <v>50.95</v>
      </c>
      <c r="H87" s="47">
        <v>27.9</v>
      </c>
      <c r="I87" s="47">
        <v>50.7</v>
      </c>
      <c r="J87" s="47">
        <v>49.7</v>
      </c>
      <c r="K87" s="47">
        <v>47.6</v>
      </c>
      <c r="L87" s="47">
        <v>50.3</v>
      </c>
      <c r="M87" s="47">
        <v>49.7</v>
      </c>
      <c r="N87" s="47">
        <v>49.55</v>
      </c>
      <c r="O87" s="51"/>
      <c r="P87" s="51"/>
      <c r="Q87" s="51"/>
      <c r="R87" s="21"/>
      <c r="S87" s="21"/>
      <c r="T87" s="21"/>
      <c r="U87" s="21"/>
      <c r="V87" s="21"/>
      <c r="W87" s="21"/>
      <c r="X87" s="21"/>
      <c r="Y87" s="21"/>
    </row>
    <row r="88" spans="1:25" x14ac:dyDescent="0.25">
      <c r="A88" s="43">
        <v>80</v>
      </c>
      <c r="B88" s="40"/>
      <c r="C88" s="44">
        <v>0.3</v>
      </c>
      <c r="D88" s="44">
        <v>0.1</v>
      </c>
      <c r="E88" s="45">
        <f t="shared" si="11"/>
        <v>0.19999999999999998</v>
      </c>
      <c r="F88" s="46">
        <v>20</v>
      </c>
      <c r="G88" s="47">
        <v>50.8</v>
      </c>
      <c r="H88" s="47">
        <v>27.8</v>
      </c>
      <c r="I88" s="47">
        <v>50.5</v>
      </c>
      <c r="J88" s="47">
        <v>49.7</v>
      </c>
      <c r="K88" s="47">
        <v>47.7</v>
      </c>
      <c r="L88" s="47">
        <v>50.3</v>
      </c>
      <c r="M88" s="47">
        <v>49.7</v>
      </c>
      <c r="N88" s="47">
        <v>49.65</v>
      </c>
      <c r="O88" s="51"/>
      <c r="P88" s="51"/>
      <c r="Q88" s="51"/>
      <c r="R88" s="21"/>
      <c r="S88" s="21"/>
      <c r="T88" s="21"/>
      <c r="U88" s="21"/>
      <c r="V88" s="21"/>
      <c r="W88" s="21"/>
      <c r="X88" s="21"/>
      <c r="Y88" s="21"/>
    </row>
    <row r="89" spans="1:25" x14ac:dyDescent="0.25">
      <c r="A89" s="40"/>
      <c r="B89" s="40"/>
      <c r="C89" s="45"/>
      <c r="D89" s="45"/>
      <c r="E89" s="45"/>
      <c r="F89" s="48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21"/>
      <c r="S89" s="21"/>
      <c r="T89" s="21"/>
      <c r="U89" s="21"/>
      <c r="V89" s="21"/>
      <c r="W89" s="21"/>
      <c r="X89" s="21"/>
      <c r="Y89" s="21"/>
    </row>
    <row r="90" spans="1:25" x14ac:dyDescent="0.25">
      <c r="A90" s="43">
        <v>81</v>
      </c>
      <c r="B90" s="43" t="s">
        <v>55</v>
      </c>
      <c r="C90" s="44">
        <v>0.17499999999999999</v>
      </c>
      <c r="D90" s="44">
        <v>7.4999999999999997E-2</v>
      </c>
      <c r="E90" s="45">
        <f t="shared" ref="E90:E99" si="12">C90-D90</f>
        <v>9.9999999999999992E-2</v>
      </c>
      <c r="F90" s="46">
        <v>15</v>
      </c>
      <c r="G90" s="47">
        <v>51</v>
      </c>
      <c r="H90" s="47">
        <v>28.1</v>
      </c>
      <c r="I90" s="47">
        <v>50.8</v>
      </c>
      <c r="J90" s="47">
        <v>50</v>
      </c>
      <c r="K90" s="47">
        <v>47.9</v>
      </c>
      <c r="L90" s="47">
        <v>50.4</v>
      </c>
      <c r="M90" s="47">
        <v>49.8</v>
      </c>
      <c r="N90" s="47">
        <v>49.75</v>
      </c>
      <c r="O90" s="51"/>
      <c r="P90" s="51"/>
      <c r="Q90" s="51"/>
      <c r="R90" s="21"/>
      <c r="S90" s="21"/>
      <c r="T90" s="21"/>
      <c r="U90" s="21"/>
      <c r="V90" s="21"/>
      <c r="W90" s="21"/>
      <c r="X90" s="21"/>
      <c r="Y90" s="21"/>
    </row>
    <row r="91" spans="1:25" x14ac:dyDescent="0.25">
      <c r="A91" s="43">
        <v>82</v>
      </c>
      <c r="B91" s="40"/>
      <c r="C91" s="44">
        <v>0.17499999999999999</v>
      </c>
      <c r="D91" s="44">
        <v>7.4999999999999997E-2</v>
      </c>
      <c r="E91" s="45">
        <f t="shared" si="12"/>
        <v>9.9999999999999992E-2</v>
      </c>
      <c r="F91" s="46">
        <v>15</v>
      </c>
      <c r="G91" s="47">
        <v>51.1</v>
      </c>
      <c r="H91" s="47">
        <v>28.1</v>
      </c>
      <c r="I91" s="47">
        <v>50.8</v>
      </c>
      <c r="J91" s="47">
        <v>50</v>
      </c>
      <c r="K91" s="47">
        <v>47.9</v>
      </c>
      <c r="L91" s="47">
        <v>50.4</v>
      </c>
      <c r="M91" s="47">
        <v>50</v>
      </c>
      <c r="N91" s="47">
        <v>49.75</v>
      </c>
      <c r="O91" s="51"/>
      <c r="P91" s="51"/>
      <c r="Q91" s="51"/>
      <c r="R91" s="21"/>
      <c r="S91" s="21"/>
      <c r="T91" s="21"/>
      <c r="U91" s="21"/>
      <c r="V91" s="21"/>
      <c r="W91" s="21"/>
      <c r="X91" s="21"/>
      <c r="Y91" s="21"/>
    </row>
    <row r="92" spans="1:25" x14ac:dyDescent="0.25">
      <c r="A92" s="43">
        <v>83</v>
      </c>
      <c r="B92" s="40"/>
      <c r="C92" s="44">
        <v>0.17499999999999999</v>
      </c>
      <c r="D92" s="44">
        <v>7.4999999999999997E-2</v>
      </c>
      <c r="E92" s="45">
        <f t="shared" si="12"/>
        <v>9.9999999999999992E-2</v>
      </c>
      <c r="F92" s="46">
        <v>15</v>
      </c>
      <c r="G92" s="47">
        <v>51.1</v>
      </c>
      <c r="H92" s="47">
        <v>28.1</v>
      </c>
      <c r="I92" s="47">
        <v>50.8</v>
      </c>
      <c r="J92" s="47">
        <v>50</v>
      </c>
      <c r="K92" s="47">
        <v>47.8</v>
      </c>
      <c r="L92" s="47">
        <v>50.4</v>
      </c>
      <c r="M92" s="47">
        <v>50</v>
      </c>
      <c r="N92" s="47">
        <v>49.75</v>
      </c>
      <c r="O92" s="51"/>
      <c r="P92" s="51"/>
      <c r="Q92" s="51"/>
      <c r="R92" s="21"/>
      <c r="S92" s="21"/>
      <c r="T92" s="21"/>
      <c r="U92" s="21"/>
      <c r="V92" s="21"/>
      <c r="W92" s="21"/>
      <c r="X92" s="21"/>
      <c r="Y92" s="21"/>
    </row>
    <row r="93" spans="1:25" x14ac:dyDescent="0.25">
      <c r="A93" s="43">
        <v>84</v>
      </c>
      <c r="B93" s="40"/>
      <c r="C93" s="44">
        <v>0.17499999999999999</v>
      </c>
      <c r="D93" s="44">
        <v>7.4999999999999997E-2</v>
      </c>
      <c r="E93" s="45">
        <f t="shared" si="12"/>
        <v>9.9999999999999992E-2</v>
      </c>
      <c r="F93" s="46">
        <v>15</v>
      </c>
      <c r="G93" s="47">
        <v>51.2</v>
      </c>
      <c r="H93" s="47">
        <v>28.1</v>
      </c>
      <c r="I93" s="47">
        <v>50.8</v>
      </c>
      <c r="J93" s="47">
        <v>50</v>
      </c>
      <c r="K93" s="47">
        <v>47.8</v>
      </c>
      <c r="L93" s="47">
        <v>50.4</v>
      </c>
      <c r="M93" s="47">
        <v>50</v>
      </c>
      <c r="N93" s="47">
        <v>49.75</v>
      </c>
      <c r="O93" s="51"/>
      <c r="P93" s="51"/>
      <c r="Q93" s="51"/>
      <c r="R93" s="21"/>
      <c r="S93" s="21"/>
      <c r="T93" s="21"/>
      <c r="U93" s="21"/>
      <c r="V93" s="21"/>
      <c r="W93" s="21"/>
      <c r="X93" s="21"/>
      <c r="Y93" s="21"/>
    </row>
    <row r="94" spans="1:25" x14ac:dyDescent="0.25">
      <c r="A94" s="43">
        <v>85</v>
      </c>
      <c r="B94" s="40"/>
      <c r="C94" s="44">
        <v>0.17499999999999999</v>
      </c>
      <c r="D94" s="44">
        <v>7.4999999999999997E-2</v>
      </c>
      <c r="E94" s="45">
        <f t="shared" si="12"/>
        <v>9.9999999999999992E-2</v>
      </c>
      <c r="F94" s="46">
        <v>15</v>
      </c>
      <c r="G94" s="47">
        <v>51.2</v>
      </c>
      <c r="H94" s="47">
        <v>28.1</v>
      </c>
      <c r="I94" s="47">
        <v>50.8</v>
      </c>
      <c r="J94" s="47">
        <v>50</v>
      </c>
      <c r="K94" s="47">
        <v>47.9</v>
      </c>
      <c r="L94" s="47">
        <v>50.4</v>
      </c>
      <c r="M94" s="47">
        <v>50</v>
      </c>
      <c r="N94" s="47">
        <v>49.75</v>
      </c>
      <c r="O94" s="51"/>
      <c r="P94" s="51"/>
      <c r="Q94" s="51"/>
      <c r="R94" s="21"/>
      <c r="S94" s="21"/>
      <c r="T94" s="21"/>
      <c r="U94" s="21"/>
      <c r="V94" s="21"/>
      <c r="W94" s="21"/>
      <c r="X94" s="21"/>
      <c r="Y94" s="21"/>
    </row>
    <row r="95" spans="1:25" x14ac:dyDescent="0.25">
      <c r="A95" s="43">
        <v>86</v>
      </c>
      <c r="B95" s="40"/>
      <c r="C95" s="44">
        <v>0.17499999999999999</v>
      </c>
      <c r="D95" s="44">
        <v>7.4999999999999997E-2</v>
      </c>
      <c r="E95" s="45">
        <f t="shared" si="12"/>
        <v>9.9999999999999992E-2</v>
      </c>
      <c r="F95" s="46">
        <v>15</v>
      </c>
      <c r="G95" s="47">
        <v>51.2</v>
      </c>
      <c r="H95" s="47">
        <v>28.1</v>
      </c>
      <c r="I95" s="47">
        <v>50.8</v>
      </c>
      <c r="J95" s="47">
        <v>50</v>
      </c>
      <c r="K95" s="47">
        <v>47.8</v>
      </c>
      <c r="L95" s="47">
        <v>50.4</v>
      </c>
      <c r="M95" s="47">
        <v>49.8</v>
      </c>
      <c r="N95" s="47">
        <v>49.75</v>
      </c>
      <c r="O95" s="51"/>
      <c r="P95" s="51"/>
      <c r="Q95" s="51"/>
      <c r="R95" s="21"/>
      <c r="S95" s="21"/>
      <c r="T95" s="21"/>
      <c r="U95" s="21"/>
      <c r="V95" s="21"/>
      <c r="W95" s="21"/>
      <c r="X95" s="21"/>
      <c r="Y95" s="21"/>
    </row>
    <row r="96" spans="1:25" x14ac:dyDescent="0.25">
      <c r="A96" s="43">
        <v>87</v>
      </c>
      <c r="B96" s="40"/>
      <c r="C96" s="44">
        <v>0.17499999999999999</v>
      </c>
      <c r="D96" s="44">
        <v>7.4999999999999997E-2</v>
      </c>
      <c r="E96" s="45">
        <f t="shared" si="12"/>
        <v>9.9999999999999992E-2</v>
      </c>
      <c r="F96" s="46">
        <v>15</v>
      </c>
      <c r="G96" s="47">
        <v>51.2</v>
      </c>
      <c r="H96" s="47">
        <v>28.1</v>
      </c>
      <c r="I96" s="47">
        <v>50.8</v>
      </c>
      <c r="J96" s="47">
        <v>50</v>
      </c>
      <c r="K96" s="47">
        <v>47.9</v>
      </c>
      <c r="L96" s="47">
        <v>50.6</v>
      </c>
      <c r="M96" s="47">
        <v>50</v>
      </c>
      <c r="N96" s="47">
        <v>49.75</v>
      </c>
      <c r="O96" s="51"/>
      <c r="P96" s="51"/>
      <c r="Q96" s="51"/>
      <c r="R96" s="21"/>
      <c r="S96" s="21"/>
      <c r="T96" s="21"/>
      <c r="U96" s="21"/>
      <c r="V96" s="21"/>
      <c r="W96" s="21"/>
      <c r="X96" s="21"/>
      <c r="Y96" s="21"/>
    </row>
    <row r="97" spans="1:25" x14ac:dyDescent="0.25">
      <c r="A97" s="43">
        <v>88</v>
      </c>
      <c r="B97" s="40"/>
      <c r="C97" s="44">
        <v>0.17499999999999999</v>
      </c>
      <c r="D97" s="44">
        <v>7.4999999999999997E-2</v>
      </c>
      <c r="E97" s="45">
        <f t="shared" si="12"/>
        <v>9.9999999999999992E-2</v>
      </c>
      <c r="F97" s="46">
        <v>15</v>
      </c>
      <c r="G97" s="47">
        <v>51.1</v>
      </c>
      <c r="H97" s="47">
        <v>28.1</v>
      </c>
      <c r="I97" s="47">
        <v>50.8</v>
      </c>
      <c r="J97" s="47">
        <v>50</v>
      </c>
      <c r="K97" s="47">
        <v>47.7</v>
      </c>
      <c r="L97" s="47">
        <v>50.4</v>
      </c>
      <c r="M97" s="47">
        <v>49.8</v>
      </c>
      <c r="N97" s="47">
        <v>49.55</v>
      </c>
      <c r="O97" s="51"/>
      <c r="P97" s="51"/>
      <c r="Q97" s="51"/>
      <c r="R97" s="21"/>
      <c r="S97" s="21"/>
      <c r="T97" s="21"/>
      <c r="U97" s="21"/>
      <c r="V97" s="21"/>
      <c r="W97" s="21"/>
      <c r="X97" s="21"/>
      <c r="Y97" s="21"/>
    </row>
    <row r="98" spans="1:25" x14ac:dyDescent="0.25">
      <c r="A98" s="43">
        <v>89</v>
      </c>
      <c r="B98" s="40"/>
      <c r="C98" s="44">
        <v>0.17499999999999999</v>
      </c>
      <c r="D98" s="44">
        <v>7.4999999999999997E-2</v>
      </c>
      <c r="E98" s="45">
        <f t="shared" si="12"/>
        <v>9.9999999999999992E-2</v>
      </c>
      <c r="F98" s="46">
        <v>15</v>
      </c>
      <c r="G98" s="47">
        <v>51.2</v>
      </c>
      <c r="H98" s="47">
        <v>28.1</v>
      </c>
      <c r="I98" s="47">
        <v>50.8</v>
      </c>
      <c r="J98" s="47">
        <v>50</v>
      </c>
      <c r="K98" s="47">
        <v>47.7</v>
      </c>
      <c r="L98" s="47">
        <v>50.4</v>
      </c>
      <c r="M98" s="47">
        <v>49.8</v>
      </c>
      <c r="N98" s="47">
        <v>49.55</v>
      </c>
      <c r="O98" s="51"/>
      <c r="P98" s="51"/>
      <c r="Q98" s="51"/>
      <c r="R98" s="21"/>
      <c r="S98" s="21"/>
      <c r="T98" s="21"/>
      <c r="U98" s="21"/>
      <c r="V98" s="21"/>
      <c r="W98" s="21"/>
      <c r="X98" s="21"/>
      <c r="Y98" s="21"/>
    </row>
    <row r="99" spans="1:25" x14ac:dyDescent="0.25">
      <c r="A99" s="43">
        <v>90</v>
      </c>
      <c r="B99" s="40"/>
      <c r="C99" s="44">
        <v>0.17499999999999999</v>
      </c>
      <c r="D99" s="44">
        <v>7.4999999999999997E-2</v>
      </c>
      <c r="E99" s="45">
        <f t="shared" si="12"/>
        <v>9.9999999999999992E-2</v>
      </c>
      <c r="F99" s="46">
        <v>15</v>
      </c>
      <c r="G99" s="47">
        <v>51.2</v>
      </c>
      <c r="H99" s="47">
        <v>28.1</v>
      </c>
      <c r="I99" s="47">
        <v>50.8</v>
      </c>
      <c r="J99" s="47">
        <v>50</v>
      </c>
      <c r="K99" s="47">
        <v>47.8</v>
      </c>
      <c r="L99" s="47">
        <v>50.4</v>
      </c>
      <c r="M99" s="47">
        <v>49.8</v>
      </c>
      <c r="N99" s="47">
        <v>49.650000000000006</v>
      </c>
      <c r="O99" s="51"/>
      <c r="P99" s="51"/>
      <c r="Q99" s="51"/>
      <c r="R99" s="21"/>
      <c r="S99" s="21"/>
      <c r="T99" s="21"/>
      <c r="U99" s="21"/>
      <c r="V99" s="21"/>
      <c r="W99" s="21"/>
      <c r="X99" s="21"/>
      <c r="Y99" s="21"/>
    </row>
    <row r="100" spans="1:25" x14ac:dyDescent="0.25">
      <c r="A100" s="40"/>
      <c r="B100" s="40"/>
      <c r="C100" s="45"/>
      <c r="D100" s="45"/>
      <c r="E100" s="45"/>
      <c r="F100" s="48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21"/>
      <c r="S100" s="21"/>
      <c r="T100" s="21"/>
      <c r="U100" s="21"/>
      <c r="V100" s="21"/>
      <c r="W100" s="21"/>
      <c r="X100" s="21"/>
      <c r="Y100" s="21"/>
    </row>
    <row r="101" spans="1:25" x14ac:dyDescent="0.25">
      <c r="A101" s="43">
        <v>91</v>
      </c>
      <c r="B101" s="43" t="s">
        <v>56</v>
      </c>
      <c r="C101" s="44">
        <v>0.125</v>
      </c>
      <c r="D101" s="44">
        <v>6.5000000000000002E-2</v>
      </c>
      <c r="E101" s="45">
        <f t="shared" ref="E101:E110" si="13">C101-D101</f>
        <v>0.06</v>
      </c>
      <c r="F101" s="46">
        <v>10</v>
      </c>
      <c r="G101" s="47">
        <v>51.2</v>
      </c>
      <c r="H101" s="47">
        <v>26.4</v>
      </c>
      <c r="I101" s="47">
        <v>50.9</v>
      </c>
      <c r="J101" s="47">
        <v>50.5</v>
      </c>
      <c r="K101" s="47">
        <v>47.7</v>
      </c>
      <c r="L101" s="47">
        <v>50.5</v>
      </c>
      <c r="M101" s="47">
        <v>50.3</v>
      </c>
      <c r="N101" s="47">
        <v>49.9</v>
      </c>
      <c r="O101" s="51"/>
      <c r="P101" s="51"/>
      <c r="Q101" s="51"/>
      <c r="R101" s="21"/>
      <c r="S101" s="21"/>
      <c r="T101" s="21"/>
      <c r="U101" s="21"/>
      <c r="V101" s="21"/>
      <c r="W101" s="21"/>
      <c r="X101" s="21"/>
      <c r="Y101" s="21"/>
    </row>
    <row r="102" spans="1:25" x14ac:dyDescent="0.25">
      <c r="A102" s="43">
        <v>92</v>
      </c>
      <c r="B102" s="40"/>
      <c r="C102" s="44">
        <v>0.125</v>
      </c>
      <c r="D102" s="44">
        <v>6.5000000000000002E-2</v>
      </c>
      <c r="E102" s="45">
        <f t="shared" si="13"/>
        <v>0.06</v>
      </c>
      <c r="F102" s="46">
        <v>10</v>
      </c>
      <c r="G102" s="47">
        <v>51.3</v>
      </c>
      <c r="H102" s="47">
        <v>26.3</v>
      </c>
      <c r="I102" s="47">
        <v>50.9</v>
      </c>
      <c r="J102" s="47">
        <v>50.5</v>
      </c>
      <c r="K102" s="47">
        <v>47.7</v>
      </c>
      <c r="L102" s="47">
        <v>50.5</v>
      </c>
      <c r="M102" s="47">
        <v>50.3</v>
      </c>
      <c r="N102" s="47">
        <v>49.9</v>
      </c>
      <c r="O102" s="51"/>
      <c r="P102" s="51"/>
      <c r="Q102" s="51"/>
      <c r="R102" s="21"/>
      <c r="S102" s="21"/>
      <c r="T102" s="21"/>
      <c r="U102" s="21"/>
      <c r="V102" s="21"/>
      <c r="W102" s="21"/>
      <c r="X102" s="21"/>
      <c r="Y102" s="21"/>
    </row>
    <row r="103" spans="1:25" x14ac:dyDescent="0.25">
      <c r="A103" s="43">
        <v>93</v>
      </c>
      <c r="B103" s="40"/>
      <c r="C103" s="44">
        <v>0.125</v>
      </c>
      <c r="D103" s="44">
        <v>6.5000000000000002E-2</v>
      </c>
      <c r="E103" s="45">
        <f t="shared" si="13"/>
        <v>0.06</v>
      </c>
      <c r="F103" s="46">
        <v>10</v>
      </c>
      <c r="G103" s="47">
        <v>51.2</v>
      </c>
      <c r="H103" s="47">
        <v>26.3</v>
      </c>
      <c r="I103" s="47">
        <v>50.9</v>
      </c>
      <c r="J103" s="47">
        <v>50.5</v>
      </c>
      <c r="K103" s="47">
        <v>47.7</v>
      </c>
      <c r="L103" s="47">
        <v>50.5</v>
      </c>
      <c r="M103" s="47">
        <v>50.3</v>
      </c>
      <c r="N103" s="47">
        <v>49.9</v>
      </c>
      <c r="O103" s="51"/>
      <c r="P103" s="51"/>
      <c r="Q103" s="51"/>
      <c r="R103" s="21"/>
      <c r="S103" s="21"/>
      <c r="T103" s="21"/>
      <c r="U103" s="21"/>
      <c r="V103" s="21"/>
      <c r="W103" s="21"/>
      <c r="X103" s="21"/>
      <c r="Y103" s="21"/>
    </row>
    <row r="104" spans="1:25" x14ac:dyDescent="0.25">
      <c r="A104" s="43">
        <v>94</v>
      </c>
      <c r="B104" s="40"/>
      <c r="C104" s="44">
        <v>0.125</v>
      </c>
      <c r="D104" s="44">
        <v>6.5000000000000002E-2</v>
      </c>
      <c r="E104" s="45">
        <f t="shared" si="13"/>
        <v>0.06</v>
      </c>
      <c r="F104" s="46">
        <v>10</v>
      </c>
      <c r="G104" s="47">
        <v>51.1</v>
      </c>
      <c r="H104" s="47">
        <v>26.4</v>
      </c>
      <c r="I104" s="47">
        <v>50.9</v>
      </c>
      <c r="J104" s="47">
        <v>50.4</v>
      </c>
      <c r="K104" s="47">
        <v>47.9</v>
      </c>
      <c r="L104" s="47">
        <v>50.6</v>
      </c>
      <c r="M104" s="47">
        <v>50.2</v>
      </c>
      <c r="N104" s="47">
        <v>50</v>
      </c>
      <c r="O104" s="51"/>
      <c r="P104" s="51"/>
      <c r="Q104" s="51"/>
      <c r="R104" s="21"/>
      <c r="S104" s="21"/>
      <c r="T104" s="21"/>
      <c r="U104" s="21"/>
      <c r="V104" s="21"/>
      <c r="W104" s="21"/>
      <c r="X104" s="21"/>
      <c r="Y104" s="21"/>
    </row>
    <row r="105" spans="1:25" x14ac:dyDescent="0.25">
      <c r="A105" s="43">
        <v>95</v>
      </c>
      <c r="B105" s="40"/>
      <c r="C105" s="44">
        <v>0.125</v>
      </c>
      <c r="D105" s="44">
        <v>6.5000000000000002E-2</v>
      </c>
      <c r="E105" s="45">
        <f t="shared" si="13"/>
        <v>0.06</v>
      </c>
      <c r="F105" s="46">
        <v>10</v>
      </c>
      <c r="G105" s="47">
        <v>51.8</v>
      </c>
      <c r="H105" s="47">
        <v>26.4</v>
      </c>
      <c r="I105" s="47">
        <v>51.3</v>
      </c>
      <c r="J105" s="47">
        <v>50.9</v>
      </c>
      <c r="K105" s="47">
        <v>47.9</v>
      </c>
      <c r="L105" s="47">
        <v>50.9</v>
      </c>
      <c r="M105" s="47">
        <v>50.6</v>
      </c>
      <c r="N105" s="47">
        <v>46.3</v>
      </c>
      <c r="O105" s="51"/>
      <c r="P105" s="51"/>
      <c r="Q105" s="51"/>
      <c r="R105" s="21"/>
      <c r="S105" s="21"/>
      <c r="T105" s="21"/>
      <c r="U105" s="21"/>
      <c r="V105" s="21"/>
      <c r="W105" s="21"/>
      <c r="X105" s="21"/>
      <c r="Y105" s="21"/>
    </row>
    <row r="106" spans="1:25" x14ac:dyDescent="0.25">
      <c r="A106" s="43">
        <v>96</v>
      </c>
      <c r="B106" s="40"/>
      <c r="C106" s="44">
        <v>0.125</v>
      </c>
      <c r="D106" s="44">
        <v>6.5000000000000002E-2</v>
      </c>
      <c r="E106" s="45">
        <f t="shared" si="13"/>
        <v>0.06</v>
      </c>
      <c r="F106" s="46">
        <v>10</v>
      </c>
      <c r="G106" s="47">
        <v>51.4</v>
      </c>
      <c r="H106" s="47">
        <v>26.299999999999997</v>
      </c>
      <c r="I106" s="47">
        <v>50.9</v>
      </c>
      <c r="J106" s="47">
        <v>50.4</v>
      </c>
      <c r="K106" s="47">
        <v>47.6</v>
      </c>
      <c r="L106" s="47">
        <v>50.7</v>
      </c>
      <c r="M106" s="47">
        <v>50.3</v>
      </c>
      <c r="N106" s="47">
        <v>48.5</v>
      </c>
      <c r="O106" s="51"/>
      <c r="P106" s="51"/>
      <c r="Q106" s="51"/>
      <c r="R106" s="21"/>
      <c r="S106" s="21"/>
      <c r="T106" s="21"/>
      <c r="U106" s="21"/>
      <c r="V106" s="21"/>
      <c r="W106" s="21"/>
      <c r="X106" s="21"/>
      <c r="Y106" s="21"/>
    </row>
    <row r="107" spans="1:25" x14ac:dyDescent="0.25">
      <c r="A107" s="43">
        <v>97</v>
      </c>
      <c r="B107" s="40"/>
      <c r="C107" s="44">
        <v>0.125</v>
      </c>
      <c r="D107" s="44">
        <v>6.5000000000000002E-2</v>
      </c>
      <c r="E107" s="45">
        <f t="shared" si="13"/>
        <v>0.06</v>
      </c>
      <c r="F107" s="46">
        <v>10</v>
      </c>
      <c r="G107" s="47">
        <v>51.1</v>
      </c>
      <c r="H107" s="47">
        <v>26.2</v>
      </c>
      <c r="I107" s="47">
        <v>50.8</v>
      </c>
      <c r="J107" s="47">
        <v>50.2</v>
      </c>
      <c r="K107" s="47">
        <v>47.6</v>
      </c>
      <c r="L107" s="47">
        <v>50.4</v>
      </c>
      <c r="M107" s="47">
        <v>50.2</v>
      </c>
      <c r="N107" s="47">
        <v>49.85</v>
      </c>
      <c r="O107" s="51"/>
      <c r="P107" s="51"/>
      <c r="Q107" s="51"/>
      <c r="R107" s="21"/>
      <c r="S107" s="21"/>
      <c r="T107" s="21"/>
      <c r="U107" s="21"/>
      <c r="V107" s="21"/>
      <c r="W107" s="21"/>
      <c r="X107" s="21"/>
      <c r="Y107" s="21"/>
    </row>
    <row r="108" spans="1:25" x14ac:dyDescent="0.25">
      <c r="A108" s="43">
        <v>98</v>
      </c>
      <c r="B108" s="40"/>
      <c r="C108" s="44">
        <v>0.125</v>
      </c>
      <c r="D108" s="44">
        <v>6.5000000000000002E-2</v>
      </c>
      <c r="E108" s="45">
        <f t="shared" si="13"/>
        <v>0.06</v>
      </c>
      <c r="F108" s="46">
        <v>10</v>
      </c>
      <c r="G108" s="47">
        <v>51.3</v>
      </c>
      <c r="H108" s="47">
        <v>26.3</v>
      </c>
      <c r="I108" s="47">
        <v>50.9</v>
      </c>
      <c r="J108" s="47">
        <v>50.3</v>
      </c>
      <c r="K108" s="47">
        <v>47.8</v>
      </c>
      <c r="L108" s="47">
        <v>50.5</v>
      </c>
      <c r="M108" s="47">
        <v>50.3</v>
      </c>
      <c r="N108" s="47">
        <v>50</v>
      </c>
      <c r="O108" s="51"/>
      <c r="P108" s="51"/>
      <c r="Q108" s="51"/>
      <c r="R108" s="21"/>
      <c r="S108" s="21"/>
      <c r="T108" s="21"/>
      <c r="U108" s="21"/>
      <c r="V108" s="21"/>
      <c r="W108" s="21"/>
      <c r="X108" s="21"/>
      <c r="Y108" s="21"/>
    </row>
    <row r="109" spans="1:25" x14ac:dyDescent="0.25">
      <c r="A109" s="43">
        <v>99</v>
      </c>
      <c r="B109" s="40"/>
      <c r="C109" s="44">
        <v>0.125</v>
      </c>
      <c r="D109" s="44">
        <v>6.5000000000000002E-2</v>
      </c>
      <c r="E109" s="45">
        <f t="shared" si="13"/>
        <v>0.06</v>
      </c>
      <c r="F109" s="46">
        <v>10</v>
      </c>
      <c r="G109" s="47">
        <v>51.2</v>
      </c>
      <c r="H109" s="47">
        <v>26.3</v>
      </c>
      <c r="I109" s="47">
        <v>50.9</v>
      </c>
      <c r="J109" s="47">
        <v>50.3</v>
      </c>
      <c r="K109" s="47">
        <v>47.6</v>
      </c>
      <c r="L109" s="47">
        <v>50.5</v>
      </c>
      <c r="M109" s="47">
        <v>50.1</v>
      </c>
      <c r="N109" s="47">
        <v>50</v>
      </c>
      <c r="O109" s="51"/>
      <c r="P109" s="51"/>
      <c r="Q109" s="51"/>
      <c r="R109" s="21"/>
      <c r="S109" s="21"/>
      <c r="T109" s="21"/>
      <c r="U109" s="21"/>
      <c r="V109" s="21"/>
      <c r="W109" s="21"/>
      <c r="X109" s="21"/>
      <c r="Y109" s="21"/>
    </row>
    <row r="110" spans="1:25" x14ac:dyDescent="0.25">
      <c r="A110" s="43">
        <v>100</v>
      </c>
      <c r="B110" s="40"/>
      <c r="C110" s="44">
        <v>0.125</v>
      </c>
      <c r="D110" s="44">
        <v>6.5000000000000002E-2</v>
      </c>
      <c r="E110" s="45">
        <f t="shared" si="13"/>
        <v>0.06</v>
      </c>
      <c r="F110" s="46">
        <v>10</v>
      </c>
      <c r="G110" s="47">
        <v>51.25</v>
      </c>
      <c r="H110" s="47">
        <v>26.3</v>
      </c>
      <c r="I110" s="47">
        <v>50.9</v>
      </c>
      <c r="J110" s="47">
        <v>50.3</v>
      </c>
      <c r="K110" s="47">
        <v>47.7</v>
      </c>
      <c r="L110" s="47">
        <v>50.5</v>
      </c>
      <c r="M110" s="47">
        <v>50.1</v>
      </c>
      <c r="N110" s="47">
        <v>50</v>
      </c>
      <c r="O110" s="51"/>
      <c r="P110" s="51"/>
      <c r="Q110" s="51"/>
      <c r="R110" s="21"/>
      <c r="S110" s="21"/>
      <c r="T110" s="21"/>
      <c r="U110" s="21"/>
      <c r="V110" s="21"/>
      <c r="W110" s="21"/>
      <c r="X110" s="21"/>
      <c r="Y110" s="21"/>
    </row>
    <row r="111" spans="1:25" x14ac:dyDescent="0.25">
      <c r="A111" s="40"/>
      <c r="B111" s="40"/>
      <c r="C111" s="45"/>
      <c r="D111" s="45"/>
      <c r="E111" s="45"/>
      <c r="F111" s="48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21"/>
      <c r="S111" s="21"/>
      <c r="T111" s="21"/>
      <c r="U111" s="21"/>
      <c r="V111" s="21"/>
      <c r="W111" s="21"/>
      <c r="X111" s="21"/>
      <c r="Y111" s="21"/>
    </row>
    <row r="112" spans="1:25" x14ac:dyDescent="0.25">
      <c r="A112" s="43">
        <v>101</v>
      </c>
      <c r="B112" s="43" t="s">
        <v>57</v>
      </c>
      <c r="C112" s="44">
        <v>0.11000000000000001</v>
      </c>
      <c r="D112" s="44">
        <v>0.1</v>
      </c>
      <c r="E112" s="45">
        <f t="shared" ref="E112:E121" si="14">C112-D112</f>
        <v>1.0000000000000009E-2</v>
      </c>
      <c r="F112" s="46">
        <v>5</v>
      </c>
      <c r="G112" s="47">
        <v>51.3</v>
      </c>
      <c r="H112" s="47">
        <v>26.9</v>
      </c>
      <c r="I112" s="47">
        <v>50.4</v>
      </c>
      <c r="J112" s="47">
        <v>50.1</v>
      </c>
      <c r="K112" s="47">
        <v>47.3</v>
      </c>
      <c r="L112" s="47">
        <v>50.1</v>
      </c>
      <c r="M112" s="47">
        <v>49.9</v>
      </c>
      <c r="N112" s="47">
        <v>49.349999999999994</v>
      </c>
      <c r="O112" s="51"/>
      <c r="P112" s="51"/>
      <c r="Q112" s="51"/>
      <c r="R112" s="21"/>
      <c r="S112" s="21"/>
      <c r="T112" s="21"/>
      <c r="U112" s="21"/>
      <c r="V112" s="21"/>
      <c r="W112" s="21"/>
      <c r="X112" s="21"/>
      <c r="Y112" s="21"/>
    </row>
    <row r="113" spans="1:25" x14ac:dyDescent="0.25">
      <c r="A113" s="43">
        <v>102</v>
      </c>
      <c r="B113" s="40"/>
      <c r="C113" s="44">
        <v>0.11000000000000001</v>
      </c>
      <c r="D113" s="44">
        <v>0.1</v>
      </c>
      <c r="E113" s="45">
        <f t="shared" si="14"/>
        <v>1.0000000000000009E-2</v>
      </c>
      <c r="F113" s="46">
        <v>5</v>
      </c>
      <c r="G113" s="47">
        <v>51.35</v>
      </c>
      <c r="H113" s="47">
        <v>27</v>
      </c>
      <c r="I113" s="47">
        <v>50.5</v>
      </c>
      <c r="J113" s="47">
        <v>50.2</v>
      </c>
      <c r="K113" s="47">
        <v>47.400000000000006</v>
      </c>
      <c r="L113" s="47">
        <v>50.2</v>
      </c>
      <c r="M113" s="47">
        <v>50</v>
      </c>
      <c r="N113" s="47">
        <v>49.45</v>
      </c>
      <c r="O113" s="51"/>
      <c r="P113" s="51"/>
      <c r="Q113" s="51"/>
      <c r="R113" s="21"/>
      <c r="S113" s="21"/>
      <c r="T113" s="21"/>
      <c r="U113" s="21"/>
      <c r="V113" s="21"/>
      <c r="W113" s="21"/>
      <c r="X113" s="21"/>
      <c r="Y113" s="21"/>
    </row>
    <row r="114" spans="1:25" x14ac:dyDescent="0.25">
      <c r="A114" s="43">
        <v>103</v>
      </c>
      <c r="B114" s="40"/>
      <c r="C114" s="44">
        <v>0.11000000000000001</v>
      </c>
      <c r="D114" s="44">
        <v>0.1</v>
      </c>
      <c r="E114" s="45">
        <f t="shared" si="14"/>
        <v>1.0000000000000009E-2</v>
      </c>
      <c r="F114" s="46">
        <v>5</v>
      </c>
      <c r="G114" s="47">
        <v>51</v>
      </c>
      <c r="H114" s="47">
        <v>27</v>
      </c>
      <c r="I114" s="47">
        <v>50.4</v>
      </c>
      <c r="J114" s="47">
        <v>50.1</v>
      </c>
      <c r="K114" s="47">
        <v>47.3</v>
      </c>
      <c r="L114" s="47">
        <v>50.1</v>
      </c>
      <c r="M114" s="47">
        <v>49.9</v>
      </c>
      <c r="N114" s="47">
        <v>49.349999999999994</v>
      </c>
      <c r="O114" s="51"/>
      <c r="P114" s="51"/>
      <c r="Q114" s="51"/>
      <c r="R114" s="21"/>
      <c r="S114" s="21"/>
      <c r="T114" s="21"/>
      <c r="U114" s="21"/>
      <c r="V114" s="21"/>
      <c r="W114" s="21"/>
      <c r="X114" s="21"/>
      <c r="Y114" s="21"/>
    </row>
    <row r="115" spans="1:25" x14ac:dyDescent="0.25">
      <c r="A115" s="43">
        <v>104</v>
      </c>
      <c r="B115" s="40"/>
      <c r="C115" s="44">
        <v>0.11000000000000001</v>
      </c>
      <c r="D115" s="44">
        <v>0.1</v>
      </c>
      <c r="E115" s="45">
        <f t="shared" si="14"/>
        <v>1.0000000000000009E-2</v>
      </c>
      <c r="F115" s="46">
        <v>5</v>
      </c>
      <c r="G115" s="47">
        <v>51.2</v>
      </c>
      <c r="H115" s="47">
        <v>27.1</v>
      </c>
      <c r="I115" s="47">
        <v>50.5</v>
      </c>
      <c r="J115" s="47">
        <v>50.2</v>
      </c>
      <c r="K115" s="47">
        <v>47.2</v>
      </c>
      <c r="L115" s="47">
        <v>50.2</v>
      </c>
      <c r="M115" s="47">
        <v>50</v>
      </c>
      <c r="N115" s="47">
        <v>49.35</v>
      </c>
      <c r="O115" s="51"/>
      <c r="P115" s="51"/>
      <c r="Q115" s="51"/>
      <c r="R115" s="21"/>
      <c r="S115" s="21"/>
      <c r="T115" s="21"/>
      <c r="U115" s="21"/>
      <c r="V115" s="21"/>
      <c r="W115" s="21"/>
      <c r="X115" s="21"/>
      <c r="Y115" s="21"/>
    </row>
    <row r="116" spans="1:25" x14ac:dyDescent="0.25">
      <c r="A116" s="43">
        <v>105</v>
      </c>
      <c r="B116" s="40"/>
      <c r="C116" s="44">
        <v>0.11000000000000001</v>
      </c>
      <c r="D116" s="44">
        <v>0.1</v>
      </c>
      <c r="E116" s="45">
        <f t="shared" si="14"/>
        <v>1.0000000000000009E-2</v>
      </c>
      <c r="F116" s="46">
        <v>5</v>
      </c>
      <c r="G116" s="47">
        <v>51.4</v>
      </c>
      <c r="H116" s="47">
        <v>27.1</v>
      </c>
      <c r="I116" s="47">
        <v>50.5</v>
      </c>
      <c r="J116" s="47">
        <v>50.2</v>
      </c>
      <c r="K116" s="47">
        <v>47.1</v>
      </c>
      <c r="L116" s="47">
        <v>50.2</v>
      </c>
      <c r="M116" s="47">
        <v>50</v>
      </c>
      <c r="N116" s="47">
        <v>49.35</v>
      </c>
      <c r="O116" s="51"/>
      <c r="P116" s="51"/>
      <c r="Q116" s="51"/>
      <c r="R116" s="21"/>
      <c r="S116" s="21"/>
      <c r="T116" s="21"/>
      <c r="U116" s="21"/>
      <c r="V116" s="21"/>
      <c r="W116" s="21"/>
      <c r="X116" s="21"/>
      <c r="Y116" s="21"/>
    </row>
    <row r="117" spans="1:25" x14ac:dyDescent="0.25">
      <c r="A117" s="43">
        <v>106</v>
      </c>
      <c r="B117" s="40"/>
      <c r="C117" s="44">
        <v>0.11000000000000001</v>
      </c>
      <c r="D117" s="44">
        <v>0.1</v>
      </c>
      <c r="E117" s="45">
        <f t="shared" si="14"/>
        <v>1.0000000000000009E-2</v>
      </c>
      <c r="F117" s="46">
        <v>5</v>
      </c>
      <c r="G117" s="47">
        <v>51.1</v>
      </c>
      <c r="H117" s="47">
        <v>27.1</v>
      </c>
      <c r="I117" s="47">
        <v>50.5</v>
      </c>
      <c r="J117" s="47">
        <v>50.2</v>
      </c>
      <c r="K117" s="47">
        <v>47.2</v>
      </c>
      <c r="L117" s="47">
        <v>50.2</v>
      </c>
      <c r="M117" s="47">
        <v>50</v>
      </c>
      <c r="N117" s="47">
        <v>49.35</v>
      </c>
      <c r="O117" s="51"/>
      <c r="P117" s="51"/>
      <c r="Q117" s="51"/>
      <c r="R117" s="21"/>
      <c r="S117" s="21"/>
      <c r="T117" s="21"/>
      <c r="U117" s="21"/>
      <c r="V117" s="21"/>
      <c r="W117" s="21"/>
      <c r="X117" s="21"/>
      <c r="Y117" s="21"/>
    </row>
    <row r="118" spans="1:25" x14ac:dyDescent="0.25">
      <c r="A118" s="43">
        <v>107</v>
      </c>
      <c r="B118" s="40"/>
      <c r="C118" s="44">
        <v>0.11000000000000001</v>
      </c>
      <c r="D118" s="44">
        <v>0.1</v>
      </c>
      <c r="E118" s="45">
        <f t="shared" si="14"/>
        <v>1.0000000000000009E-2</v>
      </c>
      <c r="F118" s="46">
        <v>5</v>
      </c>
      <c r="G118" s="47">
        <v>51.2</v>
      </c>
      <c r="H118" s="47">
        <v>27.1</v>
      </c>
      <c r="I118" s="47">
        <v>50.5</v>
      </c>
      <c r="J118" s="47">
        <v>50.2</v>
      </c>
      <c r="K118" s="47">
        <v>47.3</v>
      </c>
      <c r="L118" s="47">
        <v>50.2</v>
      </c>
      <c r="M118" s="47">
        <v>50</v>
      </c>
      <c r="N118" s="47">
        <v>49.35</v>
      </c>
      <c r="O118" s="51"/>
      <c r="P118" s="51"/>
      <c r="Q118" s="51"/>
      <c r="R118" s="21"/>
      <c r="S118" s="21"/>
      <c r="T118" s="21"/>
      <c r="U118" s="21"/>
      <c r="V118" s="21"/>
      <c r="W118" s="21"/>
      <c r="X118" s="21"/>
      <c r="Y118" s="21"/>
    </row>
    <row r="119" spans="1:25" x14ac:dyDescent="0.25">
      <c r="A119" s="43">
        <v>108</v>
      </c>
      <c r="B119" s="40"/>
      <c r="C119" s="44">
        <v>0.11000000000000001</v>
      </c>
      <c r="D119" s="44">
        <v>0.1</v>
      </c>
      <c r="E119" s="45">
        <f t="shared" si="14"/>
        <v>1.0000000000000009E-2</v>
      </c>
      <c r="F119" s="46">
        <v>5</v>
      </c>
      <c r="G119" s="47">
        <v>51.2</v>
      </c>
      <c r="H119" s="47">
        <v>27.1</v>
      </c>
      <c r="I119" s="47">
        <v>50.5</v>
      </c>
      <c r="J119" s="47">
        <v>50.2</v>
      </c>
      <c r="K119" s="47">
        <v>47.5</v>
      </c>
      <c r="L119" s="47">
        <v>50.2</v>
      </c>
      <c r="M119" s="47">
        <v>50</v>
      </c>
      <c r="N119" s="47">
        <v>49.35</v>
      </c>
      <c r="O119" s="51"/>
      <c r="P119" s="51"/>
      <c r="Q119" s="51"/>
      <c r="R119" s="21"/>
      <c r="S119" s="21"/>
      <c r="T119" s="21"/>
      <c r="U119" s="21"/>
      <c r="V119" s="21"/>
      <c r="W119" s="21"/>
      <c r="X119" s="21"/>
      <c r="Y119" s="21"/>
    </row>
    <row r="120" spans="1:25" x14ac:dyDescent="0.25">
      <c r="A120" s="43">
        <v>109</v>
      </c>
      <c r="B120" s="40"/>
      <c r="C120" s="44">
        <v>0.11000000000000001</v>
      </c>
      <c r="D120" s="44">
        <v>0.1</v>
      </c>
      <c r="E120" s="45">
        <f t="shared" si="14"/>
        <v>1.0000000000000009E-2</v>
      </c>
      <c r="F120" s="46">
        <v>5</v>
      </c>
      <c r="G120" s="47">
        <v>51.1</v>
      </c>
      <c r="H120" s="47">
        <v>27.1</v>
      </c>
      <c r="I120" s="47">
        <v>50.5</v>
      </c>
      <c r="J120" s="47">
        <v>50.2</v>
      </c>
      <c r="K120" s="47">
        <v>47.2</v>
      </c>
      <c r="L120" s="47">
        <v>50.2</v>
      </c>
      <c r="M120" s="47">
        <v>50</v>
      </c>
      <c r="N120" s="47">
        <v>49.35</v>
      </c>
      <c r="O120" s="51"/>
      <c r="P120" s="51"/>
      <c r="Q120" s="51"/>
      <c r="R120" s="21"/>
      <c r="S120" s="21"/>
      <c r="T120" s="21"/>
      <c r="U120" s="21"/>
      <c r="V120" s="21"/>
      <c r="W120" s="21"/>
      <c r="X120" s="21"/>
      <c r="Y120" s="21"/>
    </row>
    <row r="121" spans="1:25" x14ac:dyDescent="0.25">
      <c r="A121" s="43">
        <v>110</v>
      </c>
      <c r="B121" s="40"/>
      <c r="C121" s="44">
        <v>0.11000000000000001</v>
      </c>
      <c r="D121" s="44">
        <v>0.1</v>
      </c>
      <c r="E121" s="45">
        <f t="shared" si="14"/>
        <v>1.0000000000000009E-2</v>
      </c>
      <c r="F121" s="46">
        <v>5</v>
      </c>
      <c r="G121" s="47">
        <v>51.1</v>
      </c>
      <c r="H121" s="47">
        <v>27.1</v>
      </c>
      <c r="I121" s="47">
        <v>50.5</v>
      </c>
      <c r="J121" s="47">
        <v>50.2</v>
      </c>
      <c r="K121" s="47">
        <v>47.2</v>
      </c>
      <c r="L121" s="47">
        <v>50.2</v>
      </c>
      <c r="M121" s="47">
        <v>50</v>
      </c>
      <c r="N121" s="47">
        <v>49.35</v>
      </c>
      <c r="O121" s="51"/>
      <c r="P121" s="51"/>
      <c r="Q121" s="51"/>
      <c r="R121" s="21"/>
      <c r="S121" s="21"/>
      <c r="T121" s="21"/>
      <c r="U121" s="21"/>
      <c r="V121" s="21"/>
      <c r="W121" s="21"/>
      <c r="X121" s="21"/>
      <c r="Y121" s="21"/>
    </row>
    <row r="122" spans="1:25" x14ac:dyDescent="0.25">
      <c r="A122" s="40"/>
      <c r="B122" s="40"/>
      <c r="C122" s="45"/>
      <c r="D122" s="45"/>
      <c r="E122" s="45"/>
      <c r="F122" s="48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21"/>
      <c r="S122" s="21"/>
      <c r="T122" s="21"/>
      <c r="U122" s="21"/>
      <c r="V122" s="21"/>
      <c r="W122" s="21"/>
      <c r="X122" s="21"/>
      <c r="Y122" s="21"/>
    </row>
    <row r="123" spans="1:25" x14ac:dyDescent="0.25">
      <c r="A123" s="43">
        <v>111</v>
      </c>
      <c r="B123" s="52" t="s">
        <v>58</v>
      </c>
      <c r="C123" s="44">
        <v>0.48499999999999999</v>
      </c>
      <c r="D123" s="44">
        <v>0.08</v>
      </c>
      <c r="E123" s="45">
        <f t="shared" ref="E123:E132" si="15">C123-D123</f>
        <v>0.40499999999999997</v>
      </c>
      <c r="F123" s="26">
        <v>20</v>
      </c>
      <c r="G123" s="47">
        <v>52.2</v>
      </c>
      <c r="H123" s="47">
        <v>27.4</v>
      </c>
      <c r="I123" s="47">
        <v>51.5</v>
      </c>
      <c r="J123" s="47">
        <v>50.7</v>
      </c>
      <c r="K123" s="47">
        <v>47.8</v>
      </c>
      <c r="L123" s="47"/>
      <c r="M123" s="47"/>
      <c r="N123" s="47"/>
      <c r="O123" s="51"/>
      <c r="P123" s="51"/>
      <c r="Q123" s="51"/>
      <c r="R123" s="21"/>
      <c r="S123" s="21"/>
      <c r="T123" s="21"/>
      <c r="U123" s="21"/>
      <c r="V123" s="21"/>
      <c r="W123" s="21"/>
      <c r="X123" s="21"/>
      <c r="Y123" s="21"/>
    </row>
    <row r="124" spans="1:25" x14ac:dyDescent="0.25">
      <c r="A124" s="43">
        <v>112</v>
      </c>
      <c r="B124" s="40"/>
      <c r="C124" s="44">
        <v>0.48499999999999999</v>
      </c>
      <c r="D124" s="44">
        <v>0.08</v>
      </c>
      <c r="E124" s="45">
        <f t="shared" si="15"/>
        <v>0.40499999999999997</v>
      </c>
      <c r="F124" s="26">
        <v>20</v>
      </c>
      <c r="G124" s="47">
        <v>52.2</v>
      </c>
      <c r="H124" s="47">
        <v>27.4</v>
      </c>
      <c r="I124" s="47">
        <v>51.5</v>
      </c>
      <c r="J124" s="47">
        <v>50.7</v>
      </c>
      <c r="K124" s="47">
        <v>47.7</v>
      </c>
      <c r="L124" s="47"/>
      <c r="M124" s="47"/>
      <c r="N124" s="47"/>
      <c r="O124" s="51"/>
      <c r="P124" s="51"/>
      <c r="Q124" s="51"/>
      <c r="R124" s="21"/>
      <c r="S124" s="21"/>
      <c r="T124" s="21"/>
      <c r="U124" s="21"/>
      <c r="V124" s="21"/>
      <c r="W124" s="21"/>
      <c r="X124" s="21"/>
      <c r="Y124" s="21"/>
    </row>
    <row r="125" spans="1:25" x14ac:dyDescent="0.25">
      <c r="A125" s="43">
        <v>113</v>
      </c>
      <c r="B125" s="40"/>
      <c r="C125" s="44">
        <v>0.48499999999999999</v>
      </c>
      <c r="D125" s="44">
        <v>0.08</v>
      </c>
      <c r="E125" s="45">
        <f t="shared" si="15"/>
        <v>0.40499999999999997</v>
      </c>
      <c r="F125" s="26">
        <v>20</v>
      </c>
      <c r="G125" s="47">
        <v>52.4</v>
      </c>
      <c r="H125" s="47">
        <v>27.4</v>
      </c>
      <c r="I125" s="47">
        <v>51.5</v>
      </c>
      <c r="J125" s="47">
        <v>50.7</v>
      </c>
      <c r="K125" s="47">
        <v>47.85</v>
      </c>
      <c r="L125" s="47"/>
      <c r="M125" s="47"/>
      <c r="N125" s="47"/>
      <c r="O125" s="51"/>
      <c r="P125" s="51"/>
      <c r="Q125" s="51"/>
      <c r="R125" s="21"/>
      <c r="S125" s="21"/>
      <c r="T125" s="21"/>
      <c r="U125" s="21"/>
      <c r="V125" s="21"/>
      <c r="W125" s="21"/>
      <c r="X125" s="21"/>
      <c r="Y125" s="21"/>
    </row>
    <row r="126" spans="1:25" x14ac:dyDescent="0.25">
      <c r="A126" s="43">
        <v>114</v>
      </c>
      <c r="B126" s="40"/>
      <c r="C126" s="44">
        <v>0.48499999999999999</v>
      </c>
      <c r="D126" s="44">
        <v>0.08</v>
      </c>
      <c r="E126" s="45">
        <f t="shared" si="15"/>
        <v>0.40499999999999997</v>
      </c>
      <c r="F126" s="26">
        <v>20</v>
      </c>
      <c r="G126" s="47">
        <v>52.4</v>
      </c>
      <c r="H126" s="47">
        <v>27.4</v>
      </c>
      <c r="I126" s="47">
        <v>51.5</v>
      </c>
      <c r="J126" s="47">
        <v>50.7</v>
      </c>
      <c r="K126" s="47">
        <v>47.5</v>
      </c>
      <c r="L126" s="47"/>
      <c r="M126" s="47"/>
      <c r="N126" s="47"/>
      <c r="O126" s="51"/>
      <c r="P126" s="51"/>
      <c r="Q126" s="51"/>
      <c r="R126" s="21"/>
      <c r="S126" s="21"/>
      <c r="T126" s="21"/>
      <c r="U126" s="21"/>
      <c r="V126" s="21"/>
      <c r="W126" s="21"/>
      <c r="X126" s="21"/>
      <c r="Y126" s="21"/>
    </row>
    <row r="127" spans="1:25" x14ac:dyDescent="0.25">
      <c r="A127" s="43">
        <v>115</v>
      </c>
      <c r="B127" s="40"/>
      <c r="C127" s="44">
        <v>0.48499999999999999</v>
      </c>
      <c r="D127" s="44">
        <v>0.08</v>
      </c>
      <c r="E127" s="45">
        <f t="shared" si="15"/>
        <v>0.40499999999999997</v>
      </c>
      <c r="F127" s="26">
        <v>20</v>
      </c>
      <c r="G127" s="47">
        <v>52.4</v>
      </c>
      <c r="H127" s="47">
        <v>27.4</v>
      </c>
      <c r="I127" s="47">
        <v>51.5</v>
      </c>
      <c r="J127" s="47">
        <v>50.7</v>
      </c>
      <c r="K127" s="47">
        <v>47.85</v>
      </c>
      <c r="L127" s="47"/>
      <c r="M127" s="47"/>
      <c r="N127" s="47"/>
      <c r="O127" s="51"/>
      <c r="P127" s="51"/>
      <c r="Q127" s="51"/>
      <c r="R127" s="21"/>
      <c r="S127" s="21"/>
      <c r="T127" s="21"/>
      <c r="U127" s="21"/>
      <c r="V127" s="21"/>
      <c r="W127" s="21"/>
      <c r="X127" s="21"/>
      <c r="Y127" s="21"/>
    </row>
    <row r="128" spans="1:25" x14ac:dyDescent="0.25">
      <c r="A128" s="43">
        <v>116</v>
      </c>
      <c r="B128" s="40"/>
      <c r="C128" s="44">
        <v>0.48499999999999999</v>
      </c>
      <c r="D128" s="44">
        <v>0.08</v>
      </c>
      <c r="E128" s="45">
        <f t="shared" si="15"/>
        <v>0.40499999999999997</v>
      </c>
      <c r="F128" s="26">
        <v>20</v>
      </c>
      <c r="G128" s="47">
        <v>52.3</v>
      </c>
      <c r="H128" s="47">
        <v>27.4</v>
      </c>
      <c r="I128" s="47">
        <v>51.5</v>
      </c>
      <c r="J128" s="47">
        <v>50.7</v>
      </c>
      <c r="K128" s="47">
        <v>47.8</v>
      </c>
      <c r="L128" s="47"/>
      <c r="M128" s="47"/>
      <c r="N128" s="47"/>
      <c r="O128" s="51"/>
      <c r="P128" s="51"/>
      <c r="Q128" s="51"/>
      <c r="R128" s="21"/>
      <c r="S128" s="21"/>
      <c r="T128" s="21"/>
      <c r="U128" s="21"/>
      <c r="V128" s="21"/>
      <c r="W128" s="21"/>
      <c r="X128" s="21"/>
      <c r="Y128" s="21"/>
    </row>
    <row r="129" spans="1:25" x14ac:dyDescent="0.25">
      <c r="A129" s="43">
        <v>117</v>
      </c>
      <c r="B129" s="40"/>
      <c r="C129" s="44">
        <v>0.48499999999999999</v>
      </c>
      <c r="D129" s="44">
        <v>0.08</v>
      </c>
      <c r="E129" s="45">
        <f t="shared" si="15"/>
        <v>0.40499999999999997</v>
      </c>
      <c r="F129" s="26">
        <v>20</v>
      </c>
      <c r="G129" s="47">
        <v>52.2</v>
      </c>
      <c r="H129" s="47">
        <v>27.4</v>
      </c>
      <c r="I129" s="47">
        <v>51.5</v>
      </c>
      <c r="J129" s="47">
        <v>50.7</v>
      </c>
      <c r="K129" s="47">
        <v>47.75</v>
      </c>
      <c r="L129" s="47"/>
      <c r="M129" s="47"/>
      <c r="N129" s="47"/>
      <c r="O129" s="51"/>
      <c r="P129" s="51"/>
      <c r="Q129" s="51"/>
      <c r="R129" s="21"/>
      <c r="S129" s="21"/>
      <c r="T129" s="21"/>
      <c r="U129" s="21"/>
      <c r="V129" s="21"/>
      <c r="W129" s="21"/>
      <c r="X129" s="21"/>
      <c r="Y129" s="21"/>
    </row>
    <row r="130" spans="1:25" x14ac:dyDescent="0.25">
      <c r="A130" s="43">
        <v>118</v>
      </c>
      <c r="B130" s="40"/>
      <c r="C130" s="44">
        <v>0.48499999999999999</v>
      </c>
      <c r="D130" s="44">
        <v>0.08</v>
      </c>
      <c r="E130" s="45">
        <f t="shared" si="15"/>
        <v>0.40499999999999997</v>
      </c>
      <c r="F130" s="26">
        <v>20</v>
      </c>
      <c r="G130" s="47">
        <v>52.3</v>
      </c>
      <c r="H130" s="47">
        <v>27.4</v>
      </c>
      <c r="I130" s="47">
        <v>51.5</v>
      </c>
      <c r="J130" s="47">
        <v>50.7</v>
      </c>
      <c r="K130" s="47">
        <v>47.8</v>
      </c>
      <c r="L130" s="47"/>
      <c r="M130" s="47"/>
      <c r="N130" s="47"/>
      <c r="O130" s="51"/>
      <c r="P130" s="51"/>
      <c r="Q130" s="51"/>
      <c r="R130" s="21"/>
      <c r="S130" s="21"/>
      <c r="T130" s="21"/>
      <c r="U130" s="21"/>
      <c r="V130" s="21"/>
      <c r="W130" s="21"/>
      <c r="X130" s="21"/>
      <c r="Y130" s="21"/>
    </row>
    <row r="131" spans="1:25" x14ac:dyDescent="0.25">
      <c r="A131" s="43">
        <v>119</v>
      </c>
      <c r="B131" s="40"/>
      <c r="C131" s="44">
        <v>0.48499999999999999</v>
      </c>
      <c r="D131" s="44">
        <v>0.08</v>
      </c>
      <c r="E131" s="45">
        <f t="shared" si="15"/>
        <v>0.40499999999999997</v>
      </c>
      <c r="F131" s="26">
        <v>20</v>
      </c>
      <c r="G131" s="47">
        <v>52.3</v>
      </c>
      <c r="H131" s="47">
        <v>27.4</v>
      </c>
      <c r="I131" s="47">
        <v>51.5</v>
      </c>
      <c r="J131" s="47">
        <v>50.7</v>
      </c>
      <c r="K131" s="47">
        <v>47.7</v>
      </c>
      <c r="L131" s="47"/>
      <c r="M131" s="47"/>
      <c r="N131" s="47"/>
      <c r="O131" s="51"/>
      <c r="P131" s="51"/>
      <c r="Q131" s="51"/>
      <c r="R131" s="21"/>
      <c r="S131" s="21"/>
      <c r="T131" s="21"/>
      <c r="U131" s="21"/>
      <c r="V131" s="21"/>
      <c r="W131" s="21"/>
      <c r="X131" s="21"/>
      <c r="Y131" s="21"/>
    </row>
    <row r="132" spans="1:25" x14ac:dyDescent="0.25">
      <c r="A132" s="43">
        <v>120</v>
      </c>
      <c r="B132" s="40"/>
      <c r="C132" s="44">
        <v>0.48499999999999999</v>
      </c>
      <c r="D132" s="44">
        <v>0.08</v>
      </c>
      <c r="E132" s="45">
        <f t="shared" si="15"/>
        <v>0.40499999999999997</v>
      </c>
      <c r="F132" s="26">
        <v>20</v>
      </c>
      <c r="G132" s="47">
        <v>52.1</v>
      </c>
      <c r="H132" s="47">
        <v>27.299999999999997</v>
      </c>
      <c r="I132" s="47">
        <v>51.2</v>
      </c>
      <c r="J132" s="47">
        <v>50.6</v>
      </c>
      <c r="K132" s="47">
        <v>47.5</v>
      </c>
      <c r="L132" s="47"/>
      <c r="M132" s="47"/>
      <c r="N132" s="47"/>
      <c r="O132" s="51"/>
      <c r="P132" s="51"/>
      <c r="Q132" s="51"/>
      <c r="R132" s="21"/>
      <c r="S132" s="21"/>
      <c r="T132" s="21"/>
      <c r="U132" s="21"/>
      <c r="V132" s="21"/>
      <c r="W132" s="21"/>
      <c r="X132" s="21"/>
      <c r="Y132" s="21"/>
    </row>
    <row r="133" spans="1:25" x14ac:dyDescent="0.25">
      <c r="A133" s="40"/>
      <c r="B133" s="40"/>
      <c r="C133" s="45"/>
      <c r="D133" s="45"/>
      <c r="E133" s="45"/>
      <c r="F133" s="48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21"/>
      <c r="S133" s="21"/>
      <c r="T133" s="21"/>
      <c r="U133" s="21"/>
      <c r="V133" s="21"/>
      <c r="W133" s="21"/>
      <c r="X133" s="21"/>
      <c r="Y133" s="21"/>
    </row>
    <row r="134" spans="1:25" x14ac:dyDescent="0.25">
      <c r="A134" s="43">
        <v>121</v>
      </c>
      <c r="B134" s="43" t="s">
        <v>59</v>
      </c>
      <c r="C134" s="44">
        <v>0.41500000000000004</v>
      </c>
      <c r="D134" s="44">
        <v>0.1</v>
      </c>
      <c r="E134" s="45">
        <f t="shared" ref="E134:E143" si="16">C134-D134</f>
        <v>0.31500000000000006</v>
      </c>
      <c r="F134" s="46">
        <v>15</v>
      </c>
      <c r="G134" s="47">
        <v>52.7</v>
      </c>
      <c r="H134" s="47">
        <v>27.65</v>
      </c>
      <c r="I134" s="47">
        <v>51</v>
      </c>
      <c r="J134" s="47">
        <v>50.6</v>
      </c>
      <c r="K134" s="47">
        <v>47.900000000000006</v>
      </c>
      <c r="L134" s="47"/>
      <c r="M134" s="47"/>
      <c r="N134" s="47"/>
      <c r="O134" s="51"/>
      <c r="P134" s="51"/>
      <c r="Q134" s="51"/>
      <c r="R134" s="21"/>
      <c r="S134" s="21"/>
      <c r="T134" s="21"/>
      <c r="U134" s="21"/>
      <c r="V134" s="21"/>
      <c r="W134" s="21"/>
      <c r="X134" s="21"/>
      <c r="Y134" s="21"/>
    </row>
    <row r="135" spans="1:25" x14ac:dyDescent="0.25">
      <c r="A135" s="43">
        <v>122</v>
      </c>
      <c r="B135" s="40"/>
      <c r="C135" s="44">
        <v>0.41500000000000004</v>
      </c>
      <c r="D135" s="44">
        <v>0.1</v>
      </c>
      <c r="E135" s="45">
        <f t="shared" si="16"/>
        <v>0.31500000000000006</v>
      </c>
      <c r="F135" s="46">
        <v>15</v>
      </c>
      <c r="G135" s="47">
        <v>52.7</v>
      </c>
      <c r="H135" s="47">
        <v>27.55</v>
      </c>
      <c r="I135" s="47">
        <v>51</v>
      </c>
      <c r="J135" s="47">
        <v>50.5</v>
      </c>
      <c r="K135" s="47">
        <v>47.900000000000006</v>
      </c>
      <c r="L135" s="47"/>
      <c r="M135" s="47"/>
      <c r="N135" s="47"/>
      <c r="O135" s="51"/>
      <c r="P135" s="51"/>
      <c r="Q135" s="51"/>
      <c r="R135" s="21"/>
      <c r="S135" s="21"/>
      <c r="T135" s="21"/>
      <c r="U135" s="21"/>
      <c r="V135" s="21"/>
      <c r="W135" s="21"/>
      <c r="X135" s="21"/>
      <c r="Y135" s="21"/>
    </row>
    <row r="136" spans="1:25" x14ac:dyDescent="0.25">
      <c r="A136" s="43">
        <v>123</v>
      </c>
      <c r="B136" s="40"/>
      <c r="C136" s="44">
        <v>0.41500000000000004</v>
      </c>
      <c r="D136" s="44">
        <v>0.1</v>
      </c>
      <c r="E136" s="45">
        <f t="shared" si="16"/>
        <v>0.31500000000000006</v>
      </c>
      <c r="F136" s="46">
        <v>15</v>
      </c>
      <c r="G136" s="47">
        <v>52.8</v>
      </c>
      <c r="H136" s="47">
        <v>27.55</v>
      </c>
      <c r="I136" s="47">
        <v>51</v>
      </c>
      <c r="J136" s="47">
        <v>50.4</v>
      </c>
      <c r="K136" s="47">
        <v>47.900000000000006</v>
      </c>
      <c r="L136" s="47"/>
      <c r="M136" s="47"/>
      <c r="N136" s="47"/>
      <c r="O136" s="51"/>
      <c r="P136" s="51"/>
      <c r="Q136" s="51"/>
      <c r="R136" s="21"/>
      <c r="S136" s="21"/>
      <c r="T136" s="21"/>
      <c r="U136" s="21"/>
      <c r="V136" s="21"/>
      <c r="W136" s="21"/>
      <c r="X136" s="21"/>
      <c r="Y136" s="21"/>
    </row>
    <row r="137" spans="1:25" x14ac:dyDescent="0.25">
      <c r="A137" s="43">
        <v>124</v>
      </c>
      <c r="B137" s="40"/>
      <c r="C137" s="44">
        <v>0.41500000000000004</v>
      </c>
      <c r="D137" s="44">
        <v>0.1</v>
      </c>
      <c r="E137" s="45">
        <f t="shared" si="16"/>
        <v>0.31500000000000006</v>
      </c>
      <c r="F137" s="46">
        <v>15</v>
      </c>
      <c r="G137" s="47">
        <v>52.8</v>
      </c>
      <c r="H137" s="47">
        <v>27.55</v>
      </c>
      <c r="I137" s="47">
        <v>51</v>
      </c>
      <c r="J137" s="47">
        <v>50.4</v>
      </c>
      <c r="K137" s="47">
        <v>47.900000000000006</v>
      </c>
      <c r="L137" s="47"/>
      <c r="M137" s="47"/>
      <c r="N137" s="47"/>
      <c r="O137" s="51"/>
      <c r="P137" s="51"/>
      <c r="Q137" s="51"/>
      <c r="R137" s="21"/>
      <c r="S137" s="21"/>
      <c r="T137" s="21"/>
      <c r="U137" s="21"/>
      <c r="V137" s="21"/>
      <c r="W137" s="21"/>
      <c r="X137" s="21"/>
      <c r="Y137" s="21"/>
    </row>
    <row r="138" spans="1:25" x14ac:dyDescent="0.25">
      <c r="A138" s="43">
        <v>125</v>
      </c>
      <c r="B138" s="40"/>
      <c r="C138" s="44">
        <v>0.41500000000000004</v>
      </c>
      <c r="D138" s="44">
        <v>0.1</v>
      </c>
      <c r="E138" s="45">
        <f t="shared" si="16"/>
        <v>0.31500000000000006</v>
      </c>
      <c r="F138" s="46">
        <v>15</v>
      </c>
      <c r="G138" s="47">
        <v>52.8</v>
      </c>
      <c r="H138" s="47">
        <v>27.6</v>
      </c>
      <c r="I138" s="47">
        <v>51.1</v>
      </c>
      <c r="J138" s="47">
        <v>50.5</v>
      </c>
      <c r="K138" s="47">
        <v>48</v>
      </c>
      <c r="L138" s="47"/>
      <c r="M138" s="47"/>
      <c r="N138" s="47"/>
      <c r="O138" s="51"/>
      <c r="P138" s="51"/>
      <c r="Q138" s="51"/>
      <c r="R138" s="21"/>
      <c r="S138" s="21"/>
      <c r="T138" s="21"/>
      <c r="U138" s="21"/>
      <c r="V138" s="21"/>
      <c r="W138" s="21"/>
      <c r="X138" s="21"/>
      <c r="Y138" s="21"/>
    </row>
    <row r="139" spans="1:25" x14ac:dyDescent="0.25">
      <c r="A139" s="43">
        <v>126</v>
      </c>
      <c r="B139" s="40"/>
      <c r="C139" s="44">
        <v>0.41500000000000004</v>
      </c>
      <c r="D139" s="44">
        <v>0.1</v>
      </c>
      <c r="E139" s="45">
        <f t="shared" si="16"/>
        <v>0.31500000000000006</v>
      </c>
      <c r="F139" s="46">
        <v>15</v>
      </c>
      <c r="G139" s="47">
        <v>53</v>
      </c>
      <c r="H139" s="47">
        <v>27.5</v>
      </c>
      <c r="I139" s="47">
        <v>51.1</v>
      </c>
      <c r="J139" s="47">
        <v>50.5</v>
      </c>
      <c r="K139" s="47">
        <v>48</v>
      </c>
      <c r="L139" s="47"/>
      <c r="M139" s="47"/>
      <c r="N139" s="47"/>
      <c r="O139" s="51"/>
      <c r="P139" s="51"/>
      <c r="Q139" s="51"/>
      <c r="R139" s="21"/>
      <c r="S139" s="21"/>
      <c r="T139" s="21"/>
      <c r="U139" s="21"/>
      <c r="V139" s="21"/>
      <c r="W139" s="21"/>
      <c r="X139" s="21"/>
      <c r="Y139" s="21"/>
    </row>
    <row r="140" spans="1:25" x14ac:dyDescent="0.25">
      <c r="A140" s="43">
        <v>127</v>
      </c>
      <c r="B140" s="40"/>
      <c r="C140" s="44">
        <v>0.41500000000000004</v>
      </c>
      <c r="D140" s="44">
        <v>0.1</v>
      </c>
      <c r="E140" s="45">
        <f t="shared" si="16"/>
        <v>0.31500000000000006</v>
      </c>
      <c r="F140" s="46">
        <v>15</v>
      </c>
      <c r="G140" s="47">
        <v>53</v>
      </c>
      <c r="H140" s="47">
        <v>27.85</v>
      </c>
      <c r="I140" s="47">
        <v>51.1</v>
      </c>
      <c r="J140" s="47">
        <v>50.5</v>
      </c>
      <c r="K140" s="47">
        <v>48</v>
      </c>
      <c r="L140" s="47"/>
      <c r="M140" s="47"/>
      <c r="N140" s="47"/>
      <c r="O140" s="51"/>
      <c r="P140" s="51"/>
      <c r="Q140" s="51"/>
      <c r="R140" s="21"/>
      <c r="S140" s="21"/>
      <c r="T140" s="21"/>
      <c r="U140" s="21"/>
      <c r="V140" s="21"/>
      <c r="W140" s="21"/>
      <c r="X140" s="21"/>
      <c r="Y140" s="21"/>
    </row>
    <row r="141" spans="1:25" x14ac:dyDescent="0.25">
      <c r="A141" s="43">
        <v>128</v>
      </c>
      <c r="B141" s="40"/>
      <c r="C141" s="44">
        <v>0.41500000000000004</v>
      </c>
      <c r="D141" s="44">
        <v>0.1</v>
      </c>
      <c r="E141" s="45">
        <f t="shared" si="16"/>
        <v>0.31500000000000006</v>
      </c>
      <c r="F141" s="46">
        <v>15</v>
      </c>
      <c r="G141" s="47">
        <v>52.8</v>
      </c>
      <c r="H141" s="47">
        <v>27.75</v>
      </c>
      <c r="I141" s="47">
        <v>51.1</v>
      </c>
      <c r="J141" s="47">
        <v>50.5</v>
      </c>
      <c r="K141" s="47">
        <v>47.9</v>
      </c>
      <c r="L141" s="47"/>
      <c r="M141" s="47"/>
      <c r="N141" s="47"/>
      <c r="O141" s="51"/>
      <c r="P141" s="51"/>
      <c r="Q141" s="51"/>
      <c r="R141" s="21"/>
      <c r="S141" s="21"/>
      <c r="T141" s="21"/>
      <c r="U141" s="21"/>
      <c r="V141" s="21"/>
      <c r="W141" s="21"/>
      <c r="X141" s="21"/>
      <c r="Y141" s="21"/>
    </row>
    <row r="142" spans="1:25" x14ac:dyDescent="0.25">
      <c r="A142" s="43">
        <v>129</v>
      </c>
      <c r="B142" s="40"/>
      <c r="C142" s="44">
        <v>0.41500000000000004</v>
      </c>
      <c r="D142" s="44">
        <v>0.1</v>
      </c>
      <c r="E142" s="45">
        <f t="shared" si="16"/>
        <v>0.31500000000000006</v>
      </c>
      <c r="F142" s="46">
        <v>15</v>
      </c>
      <c r="G142" s="47">
        <v>52.900000000000006</v>
      </c>
      <c r="H142" s="47">
        <v>27.65</v>
      </c>
      <c r="I142" s="47">
        <v>51.1</v>
      </c>
      <c r="J142" s="47">
        <v>50.5</v>
      </c>
      <c r="K142" s="47">
        <v>47.9</v>
      </c>
      <c r="L142" s="47"/>
      <c r="M142" s="47"/>
      <c r="N142" s="47"/>
      <c r="O142" s="51"/>
      <c r="P142" s="51"/>
      <c r="Q142" s="51"/>
      <c r="R142" s="21"/>
      <c r="S142" s="21"/>
      <c r="T142" s="21"/>
      <c r="U142" s="21"/>
      <c r="V142" s="21"/>
      <c r="W142" s="21"/>
      <c r="X142" s="21"/>
      <c r="Y142" s="21"/>
    </row>
    <row r="143" spans="1:25" x14ac:dyDescent="0.25">
      <c r="A143" s="43">
        <v>130</v>
      </c>
      <c r="B143" s="40"/>
      <c r="C143" s="44">
        <v>0.41500000000000004</v>
      </c>
      <c r="D143" s="44">
        <v>0.1</v>
      </c>
      <c r="E143" s="45">
        <f t="shared" si="16"/>
        <v>0.31500000000000006</v>
      </c>
      <c r="F143" s="46">
        <v>15</v>
      </c>
      <c r="G143" s="47">
        <v>52.9</v>
      </c>
      <c r="H143" s="47">
        <v>27.75</v>
      </c>
      <c r="I143" s="47">
        <v>51.2</v>
      </c>
      <c r="J143" s="47">
        <v>50.6</v>
      </c>
      <c r="K143" s="47">
        <v>48</v>
      </c>
      <c r="L143" s="47"/>
      <c r="M143" s="47"/>
      <c r="N143" s="47"/>
      <c r="O143" s="51"/>
      <c r="P143" s="51"/>
      <c r="Q143" s="51"/>
      <c r="R143" s="21"/>
      <c r="S143" s="21"/>
      <c r="T143" s="21"/>
      <c r="U143" s="21"/>
      <c r="V143" s="21"/>
      <c r="W143" s="21"/>
      <c r="X143" s="21"/>
      <c r="Y143" s="21"/>
    </row>
    <row r="144" spans="1:25" x14ac:dyDescent="0.25">
      <c r="A144" s="40"/>
      <c r="B144" s="40"/>
      <c r="C144" s="45"/>
      <c r="D144" s="45"/>
      <c r="E144" s="45"/>
      <c r="F144" s="48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21"/>
      <c r="S144" s="21"/>
      <c r="T144" s="21"/>
      <c r="U144" s="21"/>
      <c r="V144" s="21"/>
      <c r="W144" s="21"/>
      <c r="X144" s="21"/>
      <c r="Y144" s="21"/>
    </row>
    <row r="145" spans="1:25" x14ac:dyDescent="0.25">
      <c r="A145" s="43">
        <v>131</v>
      </c>
      <c r="B145" s="43" t="s">
        <v>60</v>
      </c>
      <c r="C145" s="44">
        <v>0.29500000000000004</v>
      </c>
      <c r="D145" s="44">
        <v>7.4999999999999997E-2</v>
      </c>
      <c r="E145" s="45">
        <f t="shared" ref="E145:E154" si="17">C145-D145</f>
        <v>0.22000000000000003</v>
      </c>
      <c r="F145" s="46">
        <v>10</v>
      </c>
      <c r="G145" s="47">
        <v>52.9</v>
      </c>
      <c r="H145" s="47">
        <v>27.75</v>
      </c>
      <c r="I145" s="47">
        <v>51</v>
      </c>
      <c r="J145" s="47">
        <v>50.4</v>
      </c>
      <c r="K145" s="47">
        <v>47.8</v>
      </c>
      <c r="L145" s="47"/>
      <c r="M145" s="47"/>
      <c r="N145" s="47"/>
      <c r="O145" s="51"/>
      <c r="P145" s="51"/>
      <c r="Q145" s="51"/>
      <c r="R145" s="21"/>
      <c r="S145" s="21"/>
      <c r="T145" s="21"/>
      <c r="U145" s="21"/>
      <c r="V145" s="21"/>
      <c r="W145" s="21"/>
      <c r="X145" s="21"/>
      <c r="Y145" s="21"/>
    </row>
    <row r="146" spans="1:25" x14ac:dyDescent="0.25">
      <c r="A146" s="43">
        <v>132</v>
      </c>
      <c r="B146" s="40"/>
      <c r="C146" s="44">
        <v>0.29500000000000004</v>
      </c>
      <c r="D146" s="44">
        <v>7.4999999999999997E-2</v>
      </c>
      <c r="E146" s="45">
        <f t="shared" si="17"/>
        <v>0.22000000000000003</v>
      </c>
      <c r="F146" s="46">
        <v>10</v>
      </c>
      <c r="G146" s="47">
        <v>52.9</v>
      </c>
      <c r="H146" s="47">
        <v>27.75</v>
      </c>
      <c r="I146" s="47">
        <v>51</v>
      </c>
      <c r="J146" s="47">
        <v>50.4</v>
      </c>
      <c r="K146" s="47">
        <v>47.8</v>
      </c>
      <c r="L146" s="47"/>
      <c r="M146" s="47"/>
      <c r="N146" s="47"/>
      <c r="O146" s="51"/>
      <c r="P146" s="51"/>
      <c r="Q146" s="51"/>
      <c r="R146" s="21"/>
      <c r="S146" s="21"/>
      <c r="T146" s="21"/>
      <c r="U146" s="21"/>
      <c r="V146" s="21"/>
      <c r="W146" s="21"/>
      <c r="X146" s="21"/>
      <c r="Y146" s="21"/>
    </row>
    <row r="147" spans="1:25" x14ac:dyDescent="0.25">
      <c r="A147" s="43">
        <v>133</v>
      </c>
      <c r="B147" s="40"/>
      <c r="C147" s="44">
        <v>0.29500000000000004</v>
      </c>
      <c r="D147" s="44">
        <v>7.4999999999999997E-2</v>
      </c>
      <c r="E147" s="45">
        <f t="shared" si="17"/>
        <v>0.22000000000000003</v>
      </c>
      <c r="F147" s="46">
        <v>10</v>
      </c>
      <c r="G147" s="47">
        <v>52.8</v>
      </c>
      <c r="H147" s="47">
        <v>27.75</v>
      </c>
      <c r="I147" s="47">
        <v>51</v>
      </c>
      <c r="J147" s="47">
        <v>50.4</v>
      </c>
      <c r="K147" s="47">
        <v>47.900000000000006</v>
      </c>
      <c r="L147" s="47"/>
      <c r="M147" s="47"/>
      <c r="N147" s="47"/>
      <c r="O147" s="51"/>
      <c r="P147" s="51"/>
      <c r="Q147" s="51"/>
      <c r="R147" s="21"/>
      <c r="S147" s="21"/>
      <c r="T147" s="21"/>
      <c r="U147" s="21"/>
      <c r="V147" s="21"/>
      <c r="W147" s="21"/>
      <c r="X147" s="21"/>
      <c r="Y147" s="21"/>
    </row>
    <row r="148" spans="1:25" x14ac:dyDescent="0.25">
      <c r="A148" s="43">
        <v>134</v>
      </c>
      <c r="B148" s="40"/>
      <c r="C148" s="44">
        <v>0.29500000000000004</v>
      </c>
      <c r="D148" s="44">
        <v>7.4999999999999997E-2</v>
      </c>
      <c r="E148" s="45">
        <f t="shared" si="17"/>
        <v>0.22000000000000003</v>
      </c>
      <c r="F148" s="46">
        <v>10</v>
      </c>
      <c r="G148" s="47">
        <v>52.7</v>
      </c>
      <c r="H148" s="47">
        <v>27.65</v>
      </c>
      <c r="I148" s="47">
        <v>50.9</v>
      </c>
      <c r="J148" s="47">
        <v>50.3</v>
      </c>
      <c r="K148" s="47">
        <v>47.8</v>
      </c>
      <c r="L148" s="47"/>
      <c r="M148" s="47"/>
      <c r="N148" s="47"/>
      <c r="O148" s="51"/>
      <c r="P148" s="51"/>
      <c r="Q148" s="51"/>
      <c r="R148" s="21"/>
      <c r="S148" s="21"/>
      <c r="T148" s="21"/>
      <c r="U148" s="21"/>
      <c r="V148" s="21"/>
      <c r="W148" s="21"/>
      <c r="X148" s="21"/>
      <c r="Y148" s="21"/>
    </row>
    <row r="149" spans="1:25" x14ac:dyDescent="0.25">
      <c r="A149" s="43">
        <v>135</v>
      </c>
      <c r="B149" s="40"/>
      <c r="C149" s="44">
        <v>0.29500000000000004</v>
      </c>
      <c r="D149" s="44">
        <v>7.4999999999999997E-2</v>
      </c>
      <c r="E149" s="45">
        <f t="shared" si="17"/>
        <v>0.22000000000000003</v>
      </c>
      <c r="F149" s="46">
        <v>10</v>
      </c>
      <c r="G149" s="47">
        <v>52.8</v>
      </c>
      <c r="H149" s="47">
        <v>27.75</v>
      </c>
      <c r="I149" s="47">
        <v>51</v>
      </c>
      <c r="J149" s="47">
        <v>50.4</v>
      </c>
      <c r="K149" s="47">
        <v>47.900000000000006</v>
      </c>
      <c r="L149" s="47"/>
      <c r="M149" s="47"/>
      <c r="N149" s="47"/>
      <c r="O149" s="51"/>
      <c r="P149" s="51"/>
      <c r="Q149" s="51"/>
      <c r="R149" s="21"/>
      <c r="S149" s="21"/>
      <c r="T149" s="21"/>
      <c r="U149" s="21"/>
      <c r="V149" s="21"/>
      <c r="W149" s="21"/>
      <c r="X149" s="21"/>
      <c r="Y149" s="21"/>
    </row>
    <row r="150" spans="1:25" x14ac:dyDescent="0.25">
      <c r="A150" s="43">
        <v>136</v>
      </c>
      <c r="B150" s="40"/>
      <c r="C150" s="44">
        <v>0.29500000000000004</v>
      </c>
      <c r="D150" s="44">
        <v>7.4999999999999997E-2</v>
      </c>
      <c r="E150" s="45">
        <f t="shared" si="17"/>
        <v>0.22000000000000003</v>
      </c>
      <c r="F150" s="46">
        <v>10</v>
      </c>
      <c r="G150" s="47">
        <v>52.8</v>
      </c>
      <c r="H150" s="47">
        <v>27.75</v>
      </c>
      <c r="I150" s="47">
        <v>51</v>
      </c>
      <c r="J150" s="47">
        <v>50.4</v>
      </c>
      <c r="K150" s="47">
        <v>47.900000000000006</v>
      </c>
      <c r="L150" s="47"/>
      <c r="M150" s="47"/>
      <c r="N150" s="47"/>
      <c r="O150" s="51"/>
      <c r="P150" s="51"/>
      <c r="Q150" s="51"/>
      <c r="R150" s="21"/>
      <c r="S150" s="21"/>
      <c r="T150" s="21"/>
      <c r="U150" s="21"/>
      <c r="V150" s="21"/>
      <c r="W150" s="21"/>
      <c r="X150" s="21"/>
      <c r="Y150" s="21"/>
    </row>
    <row r="151" spans="1:25" x14ac:dyDescent="0.25">
      <c r="A151" s="43">
        <v>137</v>
      </c>
      <c r="B151" s="40"/>
      <c r="C151" s="44">
        <v>0.29500000000000004</v>
      </c>
      <c r="D151" s="44">
        <v>7.4999999999999997E-2</v>
      </c>
      <c r="E151" s="45">
        <f t="shared" si="17"/>
        <v>0.22000000000000003</v>
      </c>
      <c r="F151" s="46">
        <v>10</v>
      </c>
      <c r="G151" s="47">
        <v>52.599999999999994</v>
      </c>
      <c r="H151" s="47">
        <v>27.75</v>
      </c>
      <c r="I151" s="47">
        <v>51</v>
      </c>
      <c r="J151" s="47">
        <v>50.4</v>
      </c>
      <c r="K151" s="47">
        <v>47.7</v>
      </c>
      <c r="L151" s="47"/>
      <c r="M151" s="47"/>
      <c r="N151" s="47"/>
      <c r="O151" s="51"/>
      <c r="P151" s="51"/>
      <c r="Q151" s="51"/>
      <c r="R151" s="21"/>
      <c r="S151" s="21"/>
      <c r="T151" s="21"/>
      <c r="U151" s="21"/>
      <c r="V151" s="21"/>
      <c r="W151" s="21"/>
      <c r="X151" s="21"/>
      <c r="Y151" s="21"/>
    </row>
    <row r="152" spans="1:25" x14ac:dyDescent="0.25">
      <c r="A152" s="43">
        <v>138</v>
      </c>
      <c r="B152" s="40"/>
      <c r="C152" s="44">
        <v>0.29500000000000004</v>
      </c>
      <c r="D152" s="44">
        <v>7.4999999999999997E-2</v>
      </c>
      <c r="E152" s="45">
        <f t="shared" si="17"/>
        <v>0.22000000000000003</v>
      </c>
      <c r="F152" s="46">
        <v>10</v>
      </c>
      <c r="G152" s="47">
        <v>52.8</v>
      </c>
      <c r="H152" s="47">
        <v>27.85</v>
      </c>
      <c r="I152" s="47">
        <v>51</v>
      </c>
      <c r="J152" s="47">
        <v>50.4</v>
      </c>
      <c r="K152" s="47">
        <v>47.900000000000006</v>
      </c>
      <c r="L152" s="47"/>
      <c r="M152" s="47"/>
      <c r="N152" s="47"/>
      <c r="O152" s="51"/>
      <c r="P152" s="51"/>
      <c r="Q152" s="51"/>
      <c r="R152" s="21"/>
      <c r="S152" s="21"/>
      <c r="T152" s="21"/>
      <c r="U152" s="21"/>
      <c r="V152" s="21"/>
      <c r="W152" s="21"/>
      <c r="X152" s="21"/>
      <c r="Y152" s="21"/>
    </row>
    <row r="153" spans="1:25" x14ac:dyDescent="0.25">
      <c r="A153" s="43">
        <v>139</v>
      </c>
      <c r="B153" s="40"/>
      <c r="C153" s="44">
        <v>0.29500000000000004</v>
      </c>
      <c r="D153" s="44">
        <v>7.4999999999999997E-2</v>
      </c>
      <c r="E153" s="45">
        <f t="shared" si="17"/>
        <v>0.22000000000000003</v>
      </c>
      <c r="F153" s="46">
        <v>10</v>
      </c>
      <c r="G153" s="47">
        <v>53</v>
      </c>
      <c r="H153" s="47">
        <v>27.950000000000003</v>
      </c>
      <c r="I153" s="47">
        <v>51.1</v>
      </c>
      <c r="J153" s="47">
        <v>50.5</v>
      </c>
      <c r="K153" s="47">
        <v>48</v>
      </c>
      <c r="L153" s="47"/>
      <c r="M153" s="47"/>
      <c r="N153" s="47"/>
      <c r="O153" s="51"/>
      <c r="P153" s="51"/>
      <c r="Q153" s="51"/>
      <c r="R153" s="21"/>
      <c r="S153" s="21"/>
      <c r="T153" s="21"/>
      <c r="U153" s="21"/>
      <c r="V153" s="21"/>
      <c r="W153" s="21"/>
      <c r="X153" s="21"/>
      <c r="Y153" s="21"/>
    </row>
    <row r="154" spans="1:25" x14ac:dyDescent="0.25">
      <c r="A154" s="43">
        <v>140</v>
      </c>
      <c r="B154" s="40"/>
      <c r="C154" s="44">
        <v>0.29500000000000004</v>
      </c>
      <c r="D154" s="44">
        <v>7.4999999999999997E-2</v>
      </c>
      <c r="E154" s="45">
        <f t="shared" si="17"/>
        <v>0.22000000000000003</v>
      </c>
      <c r="F154" s="46">
        <v>10</v>
      </c>
      <c r="G154" s="47">
        <v>52.900000000000006</v>
      </c>
      <c r="H154" s="47">
        <v>28.05</v>
      </c>
      <c r="I154" s="47">
        <v>51.1</v>
      </c>
      <c r="J154" s="47">
        <v>50.5</v>
      </c>
      <c r="K154" s="47">
        <v>48</v>
      </c>
      <c r="L154" s="47"/>
      <c r="M154" s="47"/>
      <c r="N154" s="47"/>
      <c r="O154" s="51"/>
      <c r="P154" s="51"/>
      <c r="Q154" s="51"/>
      <c r="R154" s="21"/>
      <c r="S154" s="21"/>
      <c r="T154" s="21"/>
      <c r="U154" s="21"/>
      <c r="V154" s="21"/>
      <c r="W154" s="21"/>
      <c r="X154" s="21"/>
      <c r="Y154" s="21"/>
    </row>
    <row r="155" spans="1:25" x14ac:dyDescent="0.25">
      <c r="A155" s="40"/>
      <c r="B155" s="40"/>
      <c r="C155" s="45"/>
      <c r="D155" s="45"/>
      <c r="E155" s="45"/>
      <c r="F155" s="48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21"/>
      <c r="S155" s="21"/>
      <c r="T155" s="21"/>
      <c r="U155" s="21"/>
      <c r="V155" s="21"/>
      <c r="W155" s="21"/>
      <c r="X155" s="21"/>
      <c r="Y155" s="21"/>
    </row>
    <row r="156" spans="1:25" x14ac:dyDescent="0.25">
      <c r="A156" s="43">
        <v>141</v>
      </c>
      <c r="B156" s="43" t="s">
        <v>61</v>
      </c>
      <c r="C156" s="44">
        <v>0.11000000000000001</v>
      </c>
      <c r="D156" s="44">
        <v>7.4999999999999997E-2</v>
      </c>
      <c r="E156" s="45">
        <f t="shared" ref="E156:E165" si="18">C156-D156</f>
        <v>3.5000000000000017E-2</v>
      </c>
      <c r="F156" s="46">
        <v>5</v>
      </c>
      <c r="G156" s="47">
        <v>52.7</v>
      </c>
      <c r="H156" s="47">
        <v>28.4</v>
      </c>
      <c r="I156" s="47">
        <v>51</v>
      </c>
      <c r="J156" s="47">
        <v>50.4</v>
      </c>
      <c r="K156" s="47">
        <v>47.8</v>
      </c>
      <c r="L156" s="47"/>
      <c r="M156" s="47"/>
      <c r="N156" s="47"/>
      <c r="O156" s="51"/>
      <c r="P156" s="51"/>
      <c r="Q156" s="51"/>
      <c r="R156" s="21"/>
      <c r="S156" s="21"/>
      <c r="T156" s="21"/>
      <c r="U156" s="21"/>
      <c r="V156" s="21"/>
      <c r="W156" s="21"/>
      <c r="X156" s="21"/>
      <c r="Y156" s="21"/>
    </row>
    <row r="157" spans="1:25" x14ac:dyDescent="0.25">
      <c r="A157" s="43">
        <v>142</v>
      </c>
      <c r="B157" s="40"/>
      <c r="C157" s="44">
        <v>0.11000000000000001</v>
      </c>
      <c r="D157" s="44">
        <v>7.4999999999999997E-2</v>
      </c>
      <c r="E157" s="45">
        <f t="shared" si="18"/>
        <v>3.5000000000000017E-2</v>
      </c>
      <c r="F157" s="46">
        <v>5</v>
      </c>
      <c r="G157" s="47">
        <v>53.05</v>
      </c>
      <c r="H157" s="47">
        <v>28.4</v>
      </c>
      <c r="I157" s="47">
        <v>51</v>
      </c>
      <c r="J157" s="47">
        <v>50.4</v>
      </c>
      <c r="K157" s="47">
        <v>47.9</v>
      </c>
      <c r="L157" s="47"/>
      <c r="M157" s="47"/>
      <c r="N157" s="47"/>
      <c r="O157" s="51"/>
      <c r="P157" s="51"/>
      <c r="Q157" s="51"/>
      <c r="R157" s="21"/>
      <c r="S157" s="21"/>
      <c r="T157" s="21"/>
      <c r="U157" s="21"/>
      <c r="V157" s="21"/>
      <c r="W157" s="21"/>
      <c r="X157" s="21"/>
      <c r="Y157" s="21"/>
    </row>
    <row r="158" spans="1:25" x14ac:dyDescent="0.25">
      <c r="A158" s="43">
        <v>143</v>
      </c>
      <c r="B158" s="40"/>
      <c r="C158" s="44">
        <v>0.11000000000000001</v>
      </c>
      <c r="D158" s="44">
        <v>7.4999999999999997E-2</v>
      </c>
      <c r="E158" s="45">
        <f t="shared" si="18"/>
        <v>3.5000000000000017E-2</v>
      </c>
      <c r="F158" s="46">
        <v>5</v>
      </c>
      <c r="G158" s="47">
        <v>52.95</v>
      </c>
      <c r="H158" s="47">
        <v>28.4</v>
      </c>
      <c r="I158" s="47">
        <v>51</v>
      </c>
      <c r="J158" s="47">
        <v>50.4</v>
      </c>
      <c r="K158" s="47">
        <v>47.8</v>
      </c>
      <c r="L158" s="47"/>
      <c r="M158" s="47"/>
      <c r="N158" s="47"/>
      <c r="O158" s="51"/>
      <c r="P158" s="51"/>
      <c r="Q158" s="51"/>
      <c r="R158" s="21"/>
      <c r="S158" s="21"/>
      <c r="T158" s="21"/>
      <c r="U158" s="21"/>
      <c r="V158" s="21"/>
      <c r="W158" s="21"/>
      <c r="X158" s="21"/>
      <c r="Y158" s="21"/>
    </row>
    <row r="159" spans="1:25" x14ac:dyDescent="0.25">
      <c r="A159" s="43">
        <v>144</v>
      </c>
      <c r="B159" s="40"/>
      <c r="C159" s="44">
        <v>0.11000000000000001</v>
      </c>
      <c r="D159" s="44">
        <v>7.4999999999999997E-2</v>
      </c>
      <c r="E159" s="45">
        <f t="shared" si="18"/>
        <v>3.5000000000000017E-2</v>
      </c>
      <c r="F159" s="46">
        <v>5</v>
      </c>
      <c r="G159" s="47">
        <v>52.75</v>
      </c>
      <c r="H159" s="47">
        <v>28.3</v>
      </c>
      <c r="I159" s="47">
        <v>50.9</v>
      </c>
      <c r="J159" s="47">
        <v>50.3</v>
      </c>
      <c r="K159" s="47">
        <v>47.5</v>
      </c>
      <c r="L159" s="47"/>
      <c r="M159" s="47"/>
      <c r="N159" s="47"/>
      <c r="O159" s="51"/>
      <c r="P159" s="51"/>
      <c r="Q159" s="51"/>
      <c r="R159" s="21"/>
      <c r="S159" s="21"/>
      <c r="T159" s="21"/>
      <c r="U159" s="21"/>
      <c r="V159" s="21"/>
      <c r="W159" s="21"/>
      <c r="X159" s="21"/>
      <c r="Y159" s="21"/>
    </row>
    <row r="160" spans="1:25" x14ac:dyDescent="0.25">
      <c r="A160" s="43">
        <v>145</v>
      </c>
      <c r="B160" s="40"/>
      <c r="C160" s="44">
        <v>0.11000000000000001</v>
      </c>
      <c r="D160" s="44">
        <v>7.4999999999999997E-2</v>
      </c>
      <c r="E160" s="45">
        <f t="shared" si="18"/>
        <v>3.5000000000000017E-2</v>
      </c>
      <c r="F160" s="46">
        <v>5</v>
      </c>
      <c r="G160" s="47">
        <v>52.849999999999994</v>
      </c>
      <c r="H160" s="47">
        <v>28.3</v>
      </c>
      <c r="I160" s="47">
        <v>50.9</v>
      </c>
      <c r="J160" s="47">
        <v>50.3</v>
      </c>
      <c r="K160" s="47">
        <v>47.7</v>
      </c>
      <c r="L160" s="47"/>
      <c r="M160" s="47"/>
      <c r="N160" s="47"/>
      <c r="O160" s="51"/>
      <c r="P160" s="51"/>
      <c r="Q160" s="51"/>
      <c r="R160" s="21"/>
      <c r="S160" s="21"/>
      <c r="T160" s="21"/>
      <c r="U160" s="21"/>
      <c r="V160" s="21"/>
      <c r="W160" s="21"/>
      <c r="X160" s="21"/>
      <c r="Y160" s="21"/>
    </row>
    <row r="161" spans="1:25" x14ac:dyDescent="0.25">
      <c r="A161" s="43">
        <v>146</v>
      </c>
      <c r="B161" s="40"/>
      <c r="C161" s="44">
        <v>0.11000000000000001</v>
      </c>
      <c r="D161" s="44">
        <v>7.4999999999999997E-2</v>
      </c>
      <c r="E161" s="45">
        <f t="shared" si="18"/>
        <v>3.5000000000000017E-2</v>
      </c>
      <c r="F161" s="46">
        <v>5</v>
      </c>
      <c r="G161" s="47">
        <v>52.95</v>
      </c>
      <c r="H161" s="47">
        <v>28.3</v>
      </c>
      <c r="I161" s="47">
        <v>50.9</v>
      </c>
      <c r="J161" s="47">
        <v>50.3</v>
      </c>
      <c r="K161" s="47">
        <v>47.65</v>
      </c>
      <c r="L161" s="47"/>
      <c r="M161" s="47"/>
      <c r="N161" s="47"/>
      <c r="O161" s="51"/>
      <c r="P161" s="51"/>
      <c r="Q161" s="51"/>
      <c r="R161" s="21"/>
      <c r="S161" s="21"/>
      <c r="T161" s="21"/>
      <c r="U161" s="21"/>
      <c r="V161" s="21"/>
      <c r="W161" s="21"/>
      <c r="X161" s="21"/>
      <c r="Y161" s="21"/>
    </row>
    <row r="162" spans="1:25" x14ac:dyDescent="0.25">
      <c r="A162" s="43">
        <v>147</v>
      </c>
      <c r="B162" s="40"/>
      <c r="C162" s="44">
        <v>0.11000000000000001</v>
      </c>
      <c r="D162" s="44">
        <v>7.4999999999999997E-2</v>
      </c>
      <c r="E162" s="45">
        <f t="shared" si="18"/>
        <v>3.5000000000000017E-2</v>
      </c>
      <c r="F162" s="46">
        <v>5</v>
      </c>
      <c r="G162" s="47">
        <v>52.95</v>
      </c>
      <c r="H162" s="47">
        <v>28.3</v>
      </c>
      <c r="I162" s="47">
        <v>50.9</v>
      </c>
      <c r="J162" s="47">
        <v>50.3</v>
      </c>
      <c r="K162" s="47">
        <v>47.8</v>
      </c>
      <c r="L162" s="47"/>
      <c r="M162" s="47"/>
      <c r="N162" s="47"/>
      <c r="O162" s="51"/>
      <c r="P162" s="51"/>
      <c r="Q162" s="51"/>
      <c r="R162" s="21"/>
      <c r="S162" s="21"/>
      <c r="T162" s="21"/>
      <c r="U162" s="21"/>
      <c r="V162" s="21"/>
      <c r="W162" s="21"/>
      <c r="X162" s="21"/>
      <c r="Y162" s="21"/>
    </row>
    <row r="163" spans="1:25" x14ac:dyDescent="0.25">
      <c r="A163" s="43">
        <v>148</v>
      </c>
      <c r="B163" s="40"/>
      <c r="C163" s="44">
        <v>0.11000000000000001</v>
      </c>
      <c r="D163" s="44">
        <v>7.4999999999999997E-2</v>
      </c>
      <c r="E163" s="45">
        <f t="shared" si="18"/>
        <v>3.5000000000000017E-2</v>
      </c>
      <c r="F163" s="46">
        <v>5</v>
      </c>
      <c r="G163" s="47">
        <v>52.849999999999994</v>
      </c>
      <c r="H163" s="47">
        <v>28.3</v>
      </c>
      <c r="I163" s="47">
        <v>50.9</v>
      </c>
      <c r="J163" s="47">
        <v>50.3</v>
      </c>
      <c r="K163" s="47">
        <v>47.7</v>
      </c>
      <c r="L163" s="47"/>
      <c r="M163" s="47"/>
      <c r="N163" s="47"/>
      <c r="O163" s="51"/>
      <c r="P163" s="51"/>
      <c r="Q163" s="51"/>
      <c r="R163" s="21"/>
      <c r="S163" s="21"/>
      <c r="T163" s="21"/>
      <c r="U163" s="21"/>
      <c r="V163" s="21"/>
      <c r="W163" s="21"/>
      <c r="X163" s="21"/>
      <c r="Y163" s="21"/>
    </row>
    <row r="164" spans="1:25" x14ac:dyDescent="0.25">
      <c r="A164" s="43">
        <v>149</v>
      </c>
      <c r="B164" s="40"/>
      <c r="C164" s="44">
        <v>0.11000000000000001</v>
      </c>
      <c r="D164" s="44">
        <v>7.4999999999999997E-2</v>
      </c>
      <c r="E164" s="45">
        <f t="shared" si="18"/>
        <v>3.5000000000000017E-2</v>
      </c>
      <c r="F164" s="46">
        <v>5</v>
      </c>
      <c r="G164" s="47">
        <v>52.65</v>
      </c>
      <c r="H164" s="47">
        <v>28.3</v>
      </c>
      <c r="I164" s="47">
        <v>50.9</v>
      </c>
      <c r="J164" s="47">
        <v>50.3</v>
      </c>
      <c r="K164" s="47">
        <v>47.8</v>
      </c>
      <c r="L164" s="47"/>
      <c r="M164" s="47"/>
      <c r="N164" s="47"/>
      <c r="O164" s="51"/>
      <c r="P164" s="51"/>
      <c r="Q164" s="51"/>
      <c r="R164" s="21"/>
      <c r="S164" s="21"/>
      <c r="T164" s="21"/>
      <c r="U164" s="21"/>
      <c r="V164" s="21"/>
      <c r="W164" s="21"/>
      <c r="X164" s="21"/>
      <c r="Y164" s="21"/>
    </row>
    <row r="165" spans="1:25" x14ac:dyDescent="0.25">
      <c r="A165" s="43">
        <v>150</v>
      </c>
      <c r="B165" s="40"/>
      <c r="C165" s="44">
        <v>0.11000000000000001</v>
      </c>
      <c r="D165" s="44">
        <v>7.4999999999999997E-2</v>
      </c>
      <c r="E165" s="45">
        <f t="shared" si="18"/>
        <v>3.5000000000000017E-2</v>
      </c>
      <c r="F165" s="46">
        <v>5</v>
      </c>
      <c r="G165" s="47">
        <v>52.75</v>
      </c>
      <c r="H165" s="47">
        <v>28.3</v>
      </c>
      <c r="I165" s="47">
        <v>50.9</v>
      </c>
      <c r="J165" s="47">
        <v>50.3</v>
      </c>
      <c r="K165" s="47">
        <v>47.599999999999994</v>
      </c>
      <c r="L165" s="47"/>
      <c r="M165" s="47"/>
      <c r="N165" s="47"/>
      <c r="O165" s="51"/>
      <c r="P165" s="51"/>
      <c r="Q165" s="51"/>
      <c r="R165" s="21"/>
      <c r="S165" s="21"/>
      <c r="T165" s="21"/>
      <c r="U165" s="21"/>
      <c r="V165" s="21"/>
      <c r="W165" s="21"/>
      <c r="X165" s="21"/>
      <c r="Y165" s="21"/>
    </row>
    <row r="166" spans="1:25" x14ac:dyDescent="0.25">
      <c r="A166" s="40"/>
      <c r="B166" s="40"/>
      <c r="C166" s="45"/>
      <c r="D166" s="45"/>
      <c r="E166" s="45"/>
      <c r="F166" s="48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21"/>
      <c r="S166" s="21"/>
      <c r="T166" s="21"/>
      <c r="U166" s="21"/>
      <c r="V166" s="21"/>
      <c r="W166" s="21"/>
      <c r="X166" s="21"/>
      <c r="Y166" s="21"/>
    </row>
    <row r="167" spans="1:25" x14ac:dyDescent="0.25">
      <c r="A167" s="43">
        <v>151</v>
      </c>
      <c r="B167" s="43" t="s">
        <v>62</v>
      </c>
      <c r="C167" s="44">
        <v>0.375</v>
      </c>
      <c r="D167" s="44">
        <v>0.125</v>
      </c>
      <c r="E167" s="45">
        <f t="shared" ref="E167:E176" si="19">C167-D167</f>
        <v>0.25</v>
      </c>
      <c r="F167" s="46">
        <v>30</v>
      </c>
      <c r="G167" s="47">
        <v>62</v>
      </c>
      <c r="H167" s="47">
        <v>28.4</v>
      </c>
      <c r="I167" s="47">
        <v>60.5</v>
      </c>
      <c r="J167" s="47">
        <v>60</v>
      </c>
      <c r="K167" s="47">
        <v>56.85</v>
      </c>
      <c r="L167" s="47">
        <v>60.3</v>
      </c>
      <c r="M167" s="47">
        <v>59.8</v>
      </c>
      <c r="N167" s="47">
        <v>59.849999999999994</v>
      </c>
      <c r="O167" s="47">
        <v>60.7</v>
      </c>
      <c r="P167" s="47">
        <v>60.3</v>
      </c>
      <c r="Q167" s="47">
        <v>59.15</v>
      </c>
      <c r="S167" s="21"/>
      <c r="T167" s="21"/>
      <c r="U167" s="21"/>
      <c r="V167" s="21"/>
      <c r="W167" s="21"/>
      <c r="X167" s="21"/>
      <c r="Y167" s="21"/>
    </row>
    <row r="168" spans="1:25" x14ac:dyDescent="0.25">
      <c r="A168" s="43">
        <v>152</v>
      </c>
      <c r="B168" s="40"/>
      <c r="C168" s="44">
        <v>0.375</v>
      </c>
      <c r="D168" s="44">
        <v>0.125</v>
      </c>
      <c r="E168" s="45">
        <f t="shared" si="19"/>
        <v>0.25</v>
      </c>
      <c r="F168" s="46">
        <v>30</v>
      </c>
      <c r="G168" s="47">
        <v>62</v>
      </c>
      <c r="H168" s="47">
        <v>28.4</v>
      </c>
      <c r="I168" s="47">
        <v>60.5</v>
      </c>
      <c r="J168" s="47">
        <v>60.2</v>
      </c>
      <c r="K168" s="47">
        <v>56.75</v>
      </c>
      <c r="L168" s="47">
        <v>60.5</v>
      </c>
      <c r="M168" s="47">
        <v>59.8</v>
      </c>
      <c r="N168" s="47">
        <v>59.849999999999994</v>
      </c>
      <c r="O168" s="47">
        <v>60.7</v>
      </c>
      <c r="P168" s="47">
        <v>60.3</v>
      </c>
      <c r="Q168" s="47">
        <v>59.15</v>
      </c>
      <c r="S168" s="21"/>
      <c r="T168" s="21"/>
      <c r="U168" s="21"/>
      <c r="V168" s="21"/>
      <c r="W168" s="21"/>
      <c r="X168" s="21"/>
      <c r="Y168" s="21"/>
    </row>
    <row r="169" spans="1:25" x14ac:dyDescent="0.25">
      <c r="A169" s="43">
        <v>153</v>
      </c>
      <c r="B169" s="40"/>
      <c r="C169" s="44">
        <v>0.375</v>
      </c>
      <c r="D169" s="44">
        <v>0.125</v>
      </c>
      <c r="E169" s="45">
        <f t="shared" si="19"/>
        <v>0.25</v>
      </c>
      <c r="F169" s="46">
        <v>30</v>
      </c>
      <c r="G169" s="47">
        <v>62.1</v>
      </c>
      <c r="H169" s="47">
        <v>28.5</v>
      </c>
      <c r="I169" s="47">
        <v>60.6</v>
      </c>
      <c r="J169" s="47">
        <v>60.3</v>
      </c>
      <c r="K169" s="47">
        <v>56.95</v>
      </c>
      <c r="L169" s="47">
        <v>60.6</v>
      </c>
      <c r="M169" s="47">
        <v>59.9</v>
      </c>
      <c r="N169" s="47">
        <v>59.95</v>
      </c>
      <c r="O169" s="47">
        <v>60.8</v>
      </c>
      <c r="P169" s="47">
        <v>60.4</v>
      </c>
      <c r="Q169" s="47">
        <v>59.25</v>
      </c>
      <c r="S169" s="21"/>
      <c r="T169" s="21"/>
      <c r="U169" s="21"/>
      <c r="V169" s="21"/>
      <c r="W169" s="21"/>
      <c r="X169" s="21"/>
      <c r="Y169" s="21"/>
    </row>
    <row r="170" spans="1:25" x14ac:dyDescent="0.25">
      <c r="A170" s="43">
        <v>154</v>
      </c>
      <c r="B170" s="40"/>
      <c r="C170" s="44">
        <v>0.375</v>
      </c>
      <c r="D170" s="44">
        <v>0.125</v>
      </c>
      <c r="E170" s="45">
        <f t="shared" si="19"/>
        <v>0.25</v>
      </c>
      <c r="F170" s="46">
        <v>30</v>
      </c>
      <c r="G170" s="47">
        <v>62</v>
      </c>
      <c r="H170" s="47">
        <v>28.45</v>
      </c>
      <c r="I170" s="47">
        <v>60.6</v>
      </c>
      <c r="J170" s="47">
        <v>60.3</v>
      </c>
      <c r="K170" s="47">
        <v>56.95</v>
      </c>
      <c r="L170" s="47">
        <v>60.6</v>
      </c>
      <c r="M170" s="47">
        <v>59.9</v>
      </c>
      <c r="N170" s="47">
        <v>59.95</v>
      </c>
      <c r="O170" s="47">
        <v>60.8</v>
      </c>
      <c r="P170" s="47">
        <v>60.4</v>
      </c>
      <c r="Q170" s="47">
        <v>59.25</v>
      </c>
      <c r="S170" s="21"/>
      <c r="T170" s="21"/>
      <c r="U170" s="21"/>
      <c r="V170" s="21"/>
      <c r="W170" s="21"/>
      <c r="X170" s="21"/>
      <c r="Y170" s="21"/>
    </row>
    <row r="171" spans="1:25" x14ac:dyDescent="0.25">
      <c r="A171" s="43">
        <v>155</v>
      </c>
      <c r="B171" s="40"/>
      <c r="C171" s="44">
        <v>0.375</v>
      </c>
      <c r="D171" s="44">
        <v>0.125</v>
      </c>
      <c r="E171" s="45">
        <f t="shared" si="19"/>
        <v>0.25</v>
      </c>
      <c r="F171" s="46">
        <v>30</v>
      </c>
      <c r="G171" s="47">
        <v>62.1</v>
      </c>
      <c r="H171" s="47">
        <v>28.45</v>
      </c>
      <c r="I171" s="47">
        <v>60.6</v>
      </c>
      <c r="J171" s="47">
        <v>60.3</v>
      </c>
      <c r="K171" s="47">
        <v>56.95</v>
      </c>
      <c r="L171" s="47">
        <v>60.6</v>
      </c>
      <c r="M171" s="47">
        <v>59.9</v>
      </c>
      <c r="N171" s="47">
        <v>59.95</v>
      </c>
      <c r="O171" s="47">
        <v>60.8</v>
      </c>
      <c r="P171" s="47">
        <v>60.4</v>
      </c>
      <c r="Q171" s="47">
        <v>59.25</v>
      </c>
      <c r="S171" s="21"/>
      <c r="T171" s="21"/>
      <c r="U171" s="21"/>
      <c r="V171" s="21"/>
      <c r="W171" s="21"/>
      <c r="X171" s="21"/>
      <c r="Y171" s="21"/>
    </row>
    <row r="172" spans="1:25" x14ac:dyDescent="0.25">
      <c r="A172" s="43">
        <v>156</v>
      </c>
      <c r="B172" s="40"/>
      <c r="C172" s="44">
        <v>0.375</v>
      </c>
      <c r="D172" s="44">
        <v>0.125</v>
      </c>
      <c r="E172" s="45">
        <f t="shared" si="19"/>
        <v>0.25</v>
      </c>
      <c r="F172" s="46">
        <v>30</v>
      </c>
      <c r="G172" s="47">
        <v>61.849999999999994</v>
      </c>
      <c r="H172" s="47">
        <v>28.45</v>
      </c>
      <c r="I172" s="47">
        <v>60.6</v>
      </c>
      <c r="J172" s="47">
        <v>60.3</v>
      </c>
      <c r="K172" s="47">
        <v>56.849999999999994</v>
      </c>
      <c r="L172" s="47">
        <v>60.6</v>
      </c>
      <c r="M172" s="47">
        <v>59.9</v>
      </c>
      <c r="N172" s="47">
        <v>59.95</v>
      </c>
      <c r="O172" s="47">
        <v>60.8</v>
      </c>
      <c r="P172" s="47">
        <v>60.4</v>
      </c>
      <c r="Q172" s="47">
        <v>59.15</v>
      </c>
      <c r="S172" s="21"/>
      <c r="T172" s="21"/>
      <c r="U172" s="21"/>
      <c r="V172" s="21"/>
      <c r="W172" s="21"/>
      <c r="X172" s="21"/>
      <c r="Y172" s="21"/>
    </row>
    <row r="173" spans="1:25" x14ac:dyDescent="0.25">
      <c r="A173" s="43">
        <v>157</v>
      </c>
      <c r="B173" s="40"/>
      <c r="C173" s="44">
        <v>0.375</v>
      </c>
      <c r="D173" s="44">
        <v>0.125</v>
      </c>
      <c r="E173" s="45">
        <f t="shared" si="19"/>
        <v>0.25</v>
      </c>
      <c r="F173" s="46">
        <v>30</v>
      </c>
      <c r="G173" s="47">
        <v>62.1</v>
      </c>
      <c r="H173" s="47">
        <v>28.5</v>
      </c>
      <c r="I173" s="47">
        <v>60.7</v>
      </c>
      <c r="J173" s="47">
        <v>60.4</v>
      </c>
      <c r="K173" s="47">
        <v>57.05</v>
      </c>
      <c r="L173" s="47">
        <v>60.5</v>
      </c>
      <c r="M173" s="47">
        <v>60</v>
      </c>
      <c r="N173" s="47">
        <v>60.05</v>
      </c>
      <c r="O173" s="47">
        <v>60.9</v>
      </c>
      <c r="P173" s="47">
        <v>60.5</v>
      </c>
      <c r="Q173" s="47">
        <v>59.35</v>
      </c>
      <c r="S173" s="21"/>
      <c r="T173" s="21"/>
      <c r="U173" s="21"/>
      <c r="V173" s="21"/>
      <c r="W173" s="21"/>
      <c r="X173" s="21"/>
      <c r="Y173" s="21"/>
    </row>
    <row r="174" spans="1:25" x14ac:dyDescent="0.25">
      <c r="A174" s="43">
        <v>158</v>
      </c>
      <c r="B174" s="40"/>
      <c r="C174" s="44">
        <v>0.375</v>
      </c>
      <c r="D174" s="44">
        <v>0.125</v>
      </c>
      <c r="E174" s="45">
        <f t="shared" si="19"/>
        <v>0.25</v>
      </c>
      <c r="F174" s="46">
        <v>30</v>
      </c>
      <c r="G174" s="47">
        <v>62.2</v>
      </c>
      <c r="H174" s="47">
        <v>28.4</v>
      </c>
      <c r="I174" s="47">
        <v>60.7</v>
      </c>
      <c r="J174" s="47">
        <v>60.4</v>
      </c>
      <c r="K174" s="47">
        <v>57.05</v>
      </c>
      <c r="L174" s="47">
        <v>60.5</v>
      </c>
      <c r="M174" s="47">
        <v>60</v>
      </c>
      <c r="N174" s="47">
        <v>60.05</v>
      </c>
      <c r="O174" s="47">
        <v>60.9</v>
      </c>
      <c r="P174" s="47">
        <v>60.5</v>
      </c>
      <c r="Q174" s="47">
        <v>59.55</v>
      </c>
      <c r="S174" s="21"/>
      <c r="T174" s="21"/>
      <c r="U174" s="21"/>
      <c r="V174" s="21"/>
      <c r="W174" s="21"/>
      <c r="X174" s="21"/>
      <c r="Y174" s="21"/>
    </row>
    <row r="175" spans="1:25" x14ac:dyDescent="0.25">
      <c r="A175" s="43">
        <v>159</v>
      </c>
      <c r="B175" s="40"/>
      <c r="C175" s="44">
        <v>0.375</v>
      </c>
      <c r="D175" s="44">
        <v>0.125</v>
      </c>
      <c r="E175" s="45">
        <f t="shared" si="19"/>
        <v>0.25</v>
      </c>
      <c r="F175" s="46">
        <v>30</v>
      </c>
      <c r="G175" s="47">
        <v>62.1</v>
      </c>
      <c r="H175" s="47">
        <v>28.4</v>
      </c>
      <c r="I175" s="47">
        <v>60.7</v>
      </c>
      <c r="J175" s="47">
        <v>60.2</v>
      </c>
      <c r="K175" s="47">
        <v>57.05</v>
      </c>
      <c r="L175" s="47">
        <v>60.5</v>
      </c>
      <c r="M175" s="47">
        <v>60</v>
      </c>
      <c r="N175" s="47">
        <v>60.05</v>
      </c>
      <c r="O175" s="47">
        <v>60.9</v>
      </c>
      <c r="P175" s="47">
        <v>60.5</v>
      </c>
      <c r="Q175" s="47">
        <v>59.400000000000006</v>
      </c>
      <c r="S175" s="21"/>
      <c r="T175" s="21"/>
      <c r="U175" s="21"/>
      <c r="V175" s="21"/>
      <c r="W175" s="21"/>
      <c r="X175" s="21"/>
      <c r="Y175" s="21"/>
    </row>
    <row r="176" spans="1:25" x14ac:dyDescent="0.25">
      <c r="A176" s="43">
        <v>160</v>
      </c>
      <c r="B176" s="40"/>
      <c r="C176" s="44">
        <v>0.375</v>
      </c>
      <c r="D176" s="44">
        <v>0.125</v>
      </c>
      <c r="E176" s="45">
        <f t="shared" si="19"/>
        <v>0.25</v>
      </c>
      <c r="F176" s="46">
        <v>30</v>
      </c>
      <c r="G176" s="47">
        <v>62.1</v>
      </c>
      <c r="H176" s="47">
        <v>28.4</v>
      </c>
      <c r="I176" s="47">
        <v>60.7</v>
      </c>
      <c r="J176" s="47">
        <v>60.2</v>
      </c>
      <c r="K176" s="47">
        <v>56.75</v>
      </c>
      <c r="L176" s="47">
        <v>60.5</v>
      </c>
      <c r="M176" s="47">
        <v>60</v>
      </c>
      <c r="N176" s="47">
        <v>60.05</v>
      </c>
      <c r="O176" s="47">
        <v>60.9</v>
      </c>
      <c r="P176" s="47">
        <v>60.5</v>
      </c>
      <c r="Q176" s="47">
        <v>59.25</v>
      </c>
      <c r="S176" s="21"/>
      <c r="T176" s="21"/>
      <c r="U176" s="21"/>
      <c r="V176" s="21"/>
      <c r="W176" s="21"/>
      <c r="X176" s="21"/>
      <c r="Y176" s="21"/>
    </row>
    <row r="177" spans="1:25" x14ac:dyDescent="0.25">
      <c r="A177" s="40"/>
      <c r="B177" s="40"/>
      <c r="C177" s="45"/>
      <c r="D177" s="45"/>
      <c r="E177" s="45"/>
      <c r="F177" s="48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21"/>
      <c r="S177" s="21"/>
      <c r="T177" s="21"/>
      <c r="U177" s="21"/>
      <c r="V177" s="21"/>
      <c r="W177" s="21"/>
      <c r="X177" s="21"/>
      <c r="Y177" s="21"/>
    </row>
    <row r="178" spans="1:25" x14ac:dyDescent="0.25">
      <c r="A178" s="43">
        <v>161</v>
      </c>
      <c r="B178" s="43" t="s">
        <v>63</v>
      </c>
      <c r="C178" s="44">
        <v>0.3</v>
      </c>
      <c r="D178" s="44">
        <v>0.1</v>
      </c>
      <c r="E178" s="45">
        <f t="shared" ref="E178:E187" si="20">C178-D178</f>
        <v>0.19999999999999998</v>
      </c>
      <c r="F178" s="46">
        <v>25</v>
      </c>
      <c r="G178" s="47">
        <v>61.6</v>
      </c>
      <c r="H178" s="47">
        <v>28.65</v>
      </c>
      <c r="I178" s="47">
        <v>60.6</v>
      </c>
      <c r="J178" s="47">
        <v>60</v>
      </c>
      <c r="K178" s="47">
        <v>56.8</v>
      </c>
      <c r="L178" s="47">
        <v>60.4</v>
      </c>
      <c r="M178" s="47">
        <v>59.8</v>
      </c>
      <c r="N178" s="47">
        <v>59.95</v>
      </c>
      <c r="O178" s="47">
        <v>60.7</v>
      </c>
      <c r="P178" s="47">
        <v>60.4</v>
      </c>
      <c r="Q178" s="47">
        <v>59.35</v>
      </c>
      <c r="S178" s="21"/>
      <c r="T178" s="21"/>
      <c r="U178" s="21"/>
      <c r="V178" s="21"/>
      <c r="W178" s="21"/>
      <c r="X178" s="21"/>
      <c r="Y178" s="21"/>
    </row>
    <row r="179" spans="1:25" x14ac:dyDescent="0.25">
      <c r="A179" s="43">
        <v>162</v>
      </c>
      <c r="B179" s="40"/>
      <c r="C179" s="44">
        <v>0.3</v>
      </c>
      <c r="D179" s="44">
        <v>0.1</v>
      </c>
      <c r="E179" s="45">
        <f t="shared" si="20"/>
        <v>0.19999999999999998</v>
      </c>
      <c r="F179" s="46">
        <v>25</v>
      </c>
      <c r="G179" s="47">
        <v>61.8</v>
      </c>
      <c r="H179" s="47">
        <v>28.65</v>
      </c>
      <c r="I179" s="47">
        <v>60.6</v>
      </c>
      <c r="J179" s="47">
        <v>60</v>
      </c>
      <c r="K179" s="47">
        <v>56.7</v>
      </c>
      <c r="L179" s="47">
        <v>60.4</v>
      </c>
      <c r="M179" s="47">
        <v>59.8</v>
      </c>
      <c r="N179" s="47">
        <v>59.849999999999994</v>
      </c>
      <c r="O179" s="47">
        <v>60.7</v>
      </c>
      <c r="P179" s="47">
        <v>60.2</v>
      </c>
      <c r="Q179" s="47">
        <v>59.2</v>
      </c>
      <c r="S179" s="21"/>
      <c r="T179" s="21"/>
      <c r="U179" s="21"/>
      <c r="V179" s="21"/>
      <c r="W179" s="21"/>
      <c r="X179" s="21"/>
      <c r="Y179" s="21"/>
    </row>
    <row r="180" spans="1:25" x14ac:dyDescent="0.25">
      <c r="A180" s="43">
        <v>163</v>
      </c>
      <c r="B180" s="40"/>
      <c r="C180" s="44">
        <v>0.3</v>
      </c>
      <c r="D180" s="44">
        <v>0.1</v>
      </c>
      <c r="E180" s="45">
        <f t="shared" si="20"/>
        <v>0.19999999999999998</v>
      </c>
      <c r="F180" s="46">
        <v>25</v>
      </c>
      <c r="G180" s="47">
        <v>61.7</v>
      </c>
      <c r="H180" s="47">
        <v>28.5</v>
      </c>
      <c r="I180" s="47">
        <v>60.6</v>
      </c>
      <c r="J180" s="47">
        <v>60</v>
      </c>
      <c r="K180" s="47">
        <v>56.8</v>
      </c>
      <c r="L180" s="47">
        <v>60.4</v>
      </c>
      <c r="M180" s="47">
        <v>59.8</v>
      </c>
      <c r="N180" s="47">
        <v>59.849999999999994</v>
      </c>
      <c r="O180" s="47">
        <v>60.7</v>
      </c>
      <c r="P180" s="47">
        <v>60.2</v>
      </c>
      <c r="Q180" s="47">
        <v>59.3</v>
      </c>
      <c r="S180" s="21"/>
      <c r="T180" s="21"/>
      <c r="U180" s="21"/>
      <c r="V180" s="21"/>
      <c r="W180" s="21"/>
      <c r="X180" s="21"/>
      <c r="Y180" s="21"/>
    </row>
    <row r="181" spans="1:25" x14ac:dyDescent="0.25">
      <c r="A181" s="43">
        <v>164</v>
      </c>
      <c r="B181" s="40"/>
      <c r="C181" s="44">
        <v>0.3</v>
      </c>
      <c r="D181" s="44">
        <v>0.1</v>
      </c>
      <c r="E181" s="45">
        <f t="shared" si="20"/>
        <v>0.19999999999999998</v>
      </c>
      <c r="F181" s="46">
        <v>25</v>
      </c>
      <c r="G181" s="47">
        <v>61.6</v>
      </c>
      <c r="H181" s="47">
        <v>28.5</v>
      </c>
      <c r="I181" s="47">
        <v>60.6</v>
      </c>
      <c r="J181" s="47">
        <v>60</v>
      </c>
      <c r="K181" s="47">
        <v>56.900000000000006</v>
      </c>
      <c r="L181" s="47">
        <v>60.4</v>
      </c>
      <c r="M181" s="47">
        <v>59.8</v>
      </c>
      <c r="N181" s="47">
        <v>59.95</v>
      </c>
      <c r="O181" s="47">
        <v>60.7</v>
      </c>
      <c r="P181" s="47">
        <v>60.4</v>
      </c>
      <c r="Q181" s="47">
        <v>59.2</v>
      </c>
      <c r="S181" s="21"/>
      <c r="T181" s="21"/>
      <c r="U181" s="21"/>
      <c r="V181" s="21"/>
      <c r="W181" s="21"/>
      <c r="X181" s="21"/>
      <c r="Y181" s="21"/>
    </row>
    <row r="182" spans="1:25" x14ac:dyDescent="0.25">
      <c r="A182" s="43">
        <v>165</v>
      </c>
      <c r="B182" s="40"/>
      <c r="C182" s="44">
        <v>0.3</v>
      </c>
      <c r="D182" s="44">
        <v>0.1</v>
      </c>
      <c r="E182" s="45">
        <f t="shared" si="20"/>
        <v>0.19999999999999998</v>
      </c>
      <c r="F182" s="46">
        <v>25</v>
      </c>
      <c r="G182" s="47">
        <v>61.8</v>
      </c>
      <c r="H182" s="47">
        <v>28.4</v>
      </c>
      <c r="I182" s="47">
        <v>60.6</v>
      </c>
      <c r="J182" s="47">
        <v>60</v>
      </c>
      <c r="K182" s="47">
        <v>56.7</v>
      </c>
      <c r="L182" s="47">
        <v>60.4</v>
      </c>
      <c r="M182" s="47">
        <v>59.8</v>
      </c>
      <c r="N182" s="47">
        <v>59.849999999999994</v>
      </c>
      <c r="O182" s="47">
        <v>60.7</v>
      </c>
      <c r="P182" s="47">
        <v>60.4</v>
      </c>
      <c r="Q182" s="47">
        <v>59.099999999999994</v>
      </c>
      <c r="S182" s="21"/>
      <c r="T182" s="21"/>
      <c r="U182" s="21"/>
      <c r="V182" s="21"/>
      <c r="W182" s="21"/>
      <c r="X182" s="21"/>
      <c r="Y182" s="21"/>
    </row>
    <row r="183" spans="1:25" x14ac:dyDescent="0.25">
      <c r="A183" s="43">
        <v>166</v>
      </c>
      <c r="B183" s="40"/>
      <c r="C183" s="44">
        <v>0.3</v>
      </c>
      <c r="D183" s="44">
        <v>0.1</v>
      </c>
      <c r="E183" s="45">
        <f t="shared" si="20"/>
        <v>0.19999999999999998</v>
      </c>
      <c r="F183" s="46">
        <v>25</v>
      </c>
      <c r="G183" s="47">
        <v>61.650000000000006</v>
      </c>
      <c r="H183" s="47">
        <v>28.4</v>
      </c>
      <c r="I183" s="47">
        <v>60.6</v>
      </c>
      <c r="J183" s="47">
        <v>60</v>
      </c>
      <c r="K183" s="47">
        <v>56.7</v>
      </c>
      <c r="L183" s="47">
        <v>60.4</v>
      </c>
      <c r="M183" s="47">
        <v>59.8</v>
      </c>
      <c r="N183" s="47">
        <v>59.95</v>
      </c>
      <c r="O183" s="47">
        <v>60.7</v>
      </c>
      <c r="P183" s="47">
        <v>60.4</v>
      </c>
      <c r="Q183" s="47">
        <v>59.099999999999994</v>
      </c>
      <c r="S183" s="21"/>
      <c r="T183" s="21"/>
      <c r="U183" s="21"/>
      <c r="V183" s="21"/>
      <c r="W183" s="21"/>
      <c r="X183" s="21"/>
      <c r="Y183" s="21"/>
    </row>
    <row r="184" spans="1:25" x14ac:dyDescent="0.25">
      <c r="A184" s="43">
        <v>167</v>
      </c>
      <c r="B184" s="40"/>
      <c r="C184" s="44">
        <v>0.3</v>
      </c>
      <c r="D184" s="44">
        <v>0.1</v>
      </c>
      <c r="E184" s="45">
        <f t="shared" si="20"/>
        <v>0.19999999999999998</v>
      </c>
      <c r="F184" s="46">
        <v>25</v>
      </c>
      <c r="G184" s="47">
        <v>61.8</v>
      </c>
      <c r="H184" s="47">
        <v>28.4</v>
      </c>
      <c r="I184" s="47">
        <v>60.6</v>
      </c>
      <c r="J184" s="47">
        <v>60</v>
      </c>
      <c r="K184" s="47">
        <v>56.7</v>
      </c>
      <c r="L184" s="47">
        <v>60.4</v>
      </c>
      <c r="M184" s="47">
        <v>59.8</v>
      </c>
      <c r="N184" s="47">
        <v>59.95</v>
      </c>
      <c r="O184" s="47">
        <v>60.7</v>
      </c>
      <c r="P184" s="47">
        <v>60.4</v>
      </c>
      <c r="Q184" s="47">
        <v>59.3</v>
      </c>
      <c r="S184" s="21"/>
      <c r="T184" s="21"/>
      <c r="U184" s="21"/>
      <c r="V184" s="21"/>
      <c r="W184" s="21"/>
      <c r="X184" s="21"/>
      <c r="Y184" s="21"/>
    </row>
    <row r="185" spans="1:25" x14ac:dyDescent="0.25">
      <c r="A185" s="43">
        <v>168</v>
      </c>
      <c r="B185" s="40"/>
      <c r="C185" s="44">
        <v>0.3</v>
      </c>
      <c r="D185" s="44">
        <v>0.1</v>
      </c>
      <c r="E185" s="45">
        <f t="shared" si="20"/>
        <v>0.19999999999999998</v>
      </c>
      <c r="F185" s="46">
        <v>25</v>
      </c>
      <c r="G185" s="47">
        <v>61.8</v>
      </c>
      <c r="H185" s="47">
        <v>28.4</v>
      </c>
      <c r="I185" s="47">
        <v>60.6</v>
      </c>
      <c r="J185" s="47">
        <v>60</v>
      </c>
      <c r="K185" s="47">
        <v>56.8</v>
      </c>
      <c r="L185" s="47">
        <v>60.4</v>
      </c>
      <c r="M185" s="47">
        <v>59.8</v>
      </c>
      <c r="N185" s="47">
        <v>59.95</v>
      </c>
      <c r="O185" s="47">
        <v>60.7</v>
      </c>
      <c r="P185" s="47">
        <v>60.4</v>
      </c>
      <c r="Q185" s="47">
        <v>59.3</v>
      </c>
      <c r="S185" s="21"/>
      <c r="T185" s="21"/>
      <c r="U185" s="21"/>
      <c r="V185" s="21"/>
      <c r="W185" s="21"/>
      <c r="X185" s="21"/>
      <c r="Y185" s="21"/>
    </row>
    <row r="186" spans="1:25" x14ac:dyDescent="0.25">
      <c r="A186" s="43">
        <v>169</v>
      </c>
      <c r="B186" s="40"/>
      <c r="C186" s="44">
        <v>0.3</v>
      </c>
      <c r="D186" s="44">
        <v>0.1</v>
      </c>
      <c r="E186" s="45">
        <f t="shared" si="20"/>
        <v>0.19999999999999998</v>
      </c>
      <c r="F186" s="46">
        <v>25</v>
      </c>
      <c r="G186" s="47">
        <v>62</v>
      </c>
      <c r="H186" s="47">
        <v>28.6</v>
      </c>
      <c r="I186" s="47">
        <v>60.6</v>
      </c>
      <c r="J186" s="47">
        <v>60</v>
      </c>
      <c r="K186" s="47">
        <v>56.8</v>
      </c>
      <c r="L186" s="47">
        <v>60.4</v>
      </c>
      <c r="M186" s="47">
        <v>59.8</v>
      </c>
      <c r="N186" s="47">
        <v>59.9</v>
      </c>
      <c r="O186" s="47">
        <v>60.7</v>
      </c>
      <c r="P186" s="47">
        <v>60.4</v>
      </c>
      <c r="Q186" s="47">
        <v>59.2</v>
      </c>
      <c r="S186" s="21"/>
      <c r="T186" s="21"/>
      <c r="U186" s="21"/>
      <c r="V186" s="21"/>
      <c r="W186" s="21"/>
      <c r="X186" s="21"/>
      <c r="Y186" s="21"/>
    </row>
    <row r="187" spans="1:25" x14ac:dyDescent="0.25">
      <c r="A187" s="43">
        <v>170</v>
      </c>
      <c r="B187" s="40"/>
      <c r="C187" s="44">
        <v>0.3</v>
      </c>
      <c r="D187" s="44">
        <v>0.1</v>
      </c>
      <c r="E187" s="45">
        <f t="shared" si="20"/>
        <v>0.19999999999999998</v>
      </c>
      <c r="F187" s="46">
        <v>25</v>
      </c>
      <c r="G187" s="47">
        <v>61.9</v>
      </c>
      <c r="H187" s="47">
        <v>28.45</v>
      </c>
      <c r="I187" s="47">
        <v>60.6</v>
      </c>
      <c r="J187" s="47">
        <v>60.1</v>
      </c>
      <c r="K187" s="47">
        <v>56.8</v>
      </c>
      <c r="L187" s="47">
        <v>60.5</v>
      </c>
      <c r="M187" s="47">
        <v>59.9</v>
      </c>
      <c r="N187" s="47">
        <v>59.95</v>
      </c>
      <c r="O187" s="47">
        <v>60.8</v>
      </c>
      <c r="P187" s="47">
        <v>60.5</v>
      </c>
      <c r="Q187" s="47">
        <v>59.25</v>
      </c>
      <c r="S187" s="21"/>
      <c r="T187" s="21"/>
      <c r="U187" s="21"/>
      <c r="V187" s="21"/>
      <c r="W187" s="21"/>
      <c r="X187" s="21"/>
      <c r="Y187" s="21"/>
    </row>
    <row r="188" spans="1:25" x14ac:dyDescent="0.25">
      <c r="A188" s="40"/>
      <c r="B188" s="40"/>
      <c r="C188" s="45"/>
      <c r="D188" s="45"/>
      <c r="E188" s="45"/>
      <c r="F188" s="48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21"/>
      <c r="S188" s="21"/>
      <c r="T188" s="21"/>
      <c r="U188" s="21"/>
      <c r="V188" s="21"/>
      <c r="W188" s="21"/>
      <c r="X188" s="21"/>
      <c r="Y188" s="21"/>
    </row>
    <row r="189" spans="1:25" x14ac:dyDescent="0.25">
      <c r="A189" s="43">
        <v>171</v>
      </c>
      <c r="B189" s="43" t="s">
        <v>64</v>
      </c>
      <c r="C189" s="44">
        <v>0.25</v>
      </c>
      <c r="D189" s="44">
        <v>0.1</v>
      </c>
      <c r="E189" s="45">
        <f t="shared" ref="E189:E198" si="21">C189-D189</f>
        <v>0.15</v>
      </c>
      <c r="F189" s="46">
        <v>20</v>
      </c>
      <c r="G189" s="47">
        <v>59.1</v>
      </c>
      <c r="H189" s="47">
        <v>28.299999999999997</v>
      </c>
      <c r="I189" s="47">
        <v>57.8</v>
      </c>
      <c r="J189" s="47">
        <v>57.7</v>
      </c>
      <c r="K189" s="47">
        <v>54.5</v>
      </c>
      <c r="L189" s="47">
        <v>57.7</v>
      </c>
      <c r="M189" s="47">
        <v>57.3</v>
      </c>
      <c r="N189" s="47">
        <v>57.3</v>
      </c>
      <c r="O189" s="47">
        <v>57.7</v>
      </c>
      <c r="P189" s="47">
        <v>57.5</v>
      </c>
      <c r="Q189" s="47">
        <v>56.400000000000006</v>
      </c>
      <c r="S189" s="21"/>
      <c r="T189" s="21"/>
      <c r="U189" s="21"/>
      <c r="V189" s="21"/>
      <c r="W189" s="21"/>
      <c r="X189" s="21"/>
      <c r="Y189" s="21"/>
    </row>
    <row r="190" spans="1:25" x14ac:dyDescent="0.25">
      <c r="A190" s="43">
        <v>172</v>
      </c>
      <c r="B190" s="40"/>
      <c r="C190" s="44">
        <v>0.25</v>
      </c>
      <c r="D190" s="44">
        <v>0.1</v>
      </c>
      <c r="E190" s="45">
        <f t="shared" si="21"/>
        <v>0.15</v>
      </c>
      <c r="F190" s="46">
        <v>20</v>
      </c>
      <c r="G190" s="47">
        <v>59.2</v>
      </c>
      <c r="H190" s="47">
        <v>28.299999999999997</v>
      </c>
      <c r="I190" s="47">
        <v>57.8</v>
      </c>
      <c r="J190" s="47">
        <v>57.7</v>
      </c>
      <c r="K190" s="47">
        <v>54.75</v>
      </c>
      <c r="L190" s="47">
        <v>57.7</v>
      </c>
      <c r="M190" s="47">
        <v>57.3</v>
      </c>
      <c r="N190" s="47">
        <v>57.349999999999994</v>
      </c>
      <c r="O190" s="47">
        <v>57.8</v>
      </c>
      <c r="P190" s="47">
        <v>57.7</v>
      </c>
      <c r="Q190" s="47">
        <v>56.55</v>
      </c>
      <c r="S190" s="21"/>
      <c r="T190" s="21"/>
      <c r="U190" s="21"/>
      <c r="V190" s="21"/>
      <c r="W190" s="21"/>
      <c r="X190" s="21"/>
      <c r="Y190" s="21"/>
    </row>
    <row r="191" spans="1:25" x14ac:dyDescent="0.25">
      <c r="A191" s="43">
        <v>173</v>
      </c>
      <c r="B191" s="40"/>
      <c r="C191" s="44">
        <v>0.25</v>
      </c>
      <c r="D191" s="44">
        <v>0.1</v>
      </c>
      <c r="E191" s="45">
        <f t="shared" si="21"/>
        <v>0.15</v>
      </c>
      <c r="F191" s="46">
        <v>20</v>
      </c>
      <c r="G191" s="47">
        <v>59.349999999999994</v>
      </c>
      <c r="H191" s="47">
        <v>28.4</v>
      </c>
      <c r="I191" s="47">
        <v>58.1</v>
      </c>
      <c r="J191" s="47">
        <v>57.8</v>
      </c>
      <c r="K191" s="47">
        <v>54.75</v>
      </c>
      <c r="L191" s="47">
        <v>58</v>
      </c>
      <c r="M191" s="47">
        <v>57.6</v>
      </c>
      <c r="N191" s="47">
        <v>57.6</v>
      </c>
      <c r="O191" s="47">
        <v>58.1</v>
      </c>
      <c r="P191" s="47">
        <v>57.8</v>
      </c>
      <c r="Q191" s="47">
        <v>56.75</v>
      </c>
      <c r="S191" s="21"/>
      <c r="T191" s="21"/>
      <c r="U191" s="21"/>
      <c r="V191" s="21"/>
      <c r="W191" s="21"/>
      <c r="X191" s="21"/>
      <c r="Y191" s="21"/>
    </row>
    <row r="192" spans="1:25" x14ac:dyDescent="0.25">
      <c r="A192" s="43">
        <v>174</v>
      </c>
      <c r="B192" s="40"/>
      <c r="C192" s="44">
        <v>0.25</v>
      </c>
      <c r="D192" s="44">
        <v>0.1</v>
      </c>
      <c r="E192" s="45">
        <f t="shared" si="21"/>
        <v>0.15</v>
      </c>
      <c r="F192" s="46">
        <v>20</v>
      </c>
      <c r="G192" s="47">
        <v>59.4</v>
      </c>
      <c r="H192" s="47">
        <v>28.4</v>
      </c>
      <c r="I192" s="47">
        <v>58.1</v>
      </c>
      <c r="J192" s="47">
        <v>58</v>
      </c>
      <c r="K192" s="47">
        <v>54.95</v>
      </c>
      <c r="L192" s="47">
        <v>58</v>
      </c>
      <c r="M192" s="47">
        <v>57.6</v>
      </c>
      <c r="N192" s="47">
        <v>57.7</v>
      </c>
      <c r="O192" s="47">
        <v>58.1</v>
      </c>
      <c r="P192" s="47">
        <v>58</v>
      </c>
      <c r="Q192" s="47">
        <v>56.85</v>
      </c>
      <c r="S192" s="21"/>
      <c r="T192" s="21"/>
      <c r="U192" s="21"/>
      <c r="V192" s="21"/>
      <c r="W192" s="21"/>
      <c r="X192" s="21"/>
      <c r="Y192" s="21"/>
    </row>
    <row r="193" spans="1:25" x14ac:dyDescent="0.25">
      <c r="A193" s="43">
        <v>175</v>
      </c>
      <c r="B193" s="40"/>
      <c r="C193" s="44">
        <v>0.25</v>
      </c>
      <c r="D193" s="44">
        <v>0.1</v>
      </c>
      <c r="E193" s="45">
        <f t="shared" si="21"/>
        <v>0.15</v>
      </c>
      <c r="F193" s="46">
        <v>20</v>
      </c>
      <c r="G193" s="47">
        <v>59.7</v>
      </c>
      <c r="H193" s="47">
        <v>28.45</v>
      </c>
      <c r="I193" s="47">
        <v>58.2</v>
      </c>
      <c r="J193" s="47">
        <v>58.1</v>
      </c>
      <c r="K193" s="47">
        <v>55.05</v>
      </c>
      <c r="L193" s="47">
        <v>58.1</v>
      </c>
      <c r="M193" s="47">
        <v>57.7</v>
      </c>
      <c r="N193" s="47">
        <v>57.8</v>
      </c>
      <c r="O193" s="47">
        <v>58.2</v>
      </c>
      <c r="P193" s="47">
        <v>58.1</v>
      </c>
      <c r="Q193" s="47">
        <v>56.95</v>
      </c>
      <c r="S193" s="21"/>
      <c r="T193" s="21"/>
      <c r="U193" s="21"/>
      <c r="V193" s="21"/>
      <c r="W193" s="21"/>
      <c r="X193" s="21"/>
      <c r="Y193" s="21"/>
    </row>
    <row r="194" spans="1:25" x14ac:dyDescent="0.25">
      <c r="A194" s="43">
        <v>176</v>
      </c>
      <c r="B194" s="40"/>
      <c r="C194" s="44">
        <v>0.25</v>
      </c>
      <c r="D194" s="44">
        <v>0.1</v>
      </c>
      <c r="E194" s="45">
        <f t="shared" si="21"/>
        <v>0.15</v>
      </c>
      <c r="F194" s="46">
        <v>20</v>
      </c>
      <c r="G194" s="47">
        <v>59.6</v>
      </c>
      <c r="H194" s="47">
        <v>28.45</v>
      </c>
      <c r="I194" s="47">
        <v>58.4</v>
      </c>
      <c r="J194" s="47">
        <v>58.1</v>
      </c>
      <c r="K194" s="47">
        <v>54.75</v>
      </c>
      <c r="L194" s="47">
        <v>58.2</v>
      </c>
      <c r="M194" s="47">
        <v>57.9</v>
      </c>
      <c r="N194" s="47">
        <v>57.8</v>
      </c>
      <c r="O194" s="47">
        <v>58.2</v>
      </c>
      <c r="P194" s="47">
        <v>58.1</v>
      </c>
      <c r="Q194" s="47">
        <v>56.8</v>
      </c>
      <c r="S194" s="21"/>
      <c r="T194" s="21"/>
      <c r="U194" s="21"/>
      <c r="V194" s="21"/>
      <c r="W194" s="21"/>
      <c r="X194" s="21"/>
      <c r="Y194" s="21"/>
    </row>
    <row r="195" spans="1:25" x14ac:dyDescent="0.25">
      <c r="A195" s="43">
        <v>177</v>
      </c>
      <c r="B195" s="40"/>
      <c r="C195" s="44">
        <v>0.25</v>
      </c>
      <c r="D195" s="44">
        <v>0.1</v>
      </c>
      <c r="E195" s="45">
        <f t="shared" si="21"/>
        <v>0.15</v>
      </c>
      <c r="F195" s="46">
        <v>20</v>
      </c>
      <c r="G195" s="47">
        <v>59.75</v>
      </c>
      <c r="H195" s="47">
        <v>28.5</v>
      </c>
      <c r="I195" s="47">
        <v>58.5</v>
      </c>
      <c r="J195" s="47">
        <v>58.3</v>
      </c>
      <c r="K195" s="47">
        <v>55.1</v>
      </c>
      <c r="L195" s="47">
        <v>58.3</v>
      </c>
      <c r="M195" s="47">
        <v>58</v>
      </c>
      <c r="N195" s="47">
        <v>57.95</v>
      </c>
      <c r="O195" s="47">
        <v>58.5</v>
      </c>
      <c r="P195" s="47">
        <v>58.3</v>
      </c>
      <c r="Q195" s="47">
        <v>56.95</v>
      </c>
      <c r="S195" s="21"/>
      <c r="T195" s="21"/>
      <c r="U195" s="21"/>
      <c r="V195" s="21"/>
      <c r="W195" s="21"/>
      <c r="X195" s="21"/>
      <c r="Y195" s="21"/>
    </row>
    <row r="196" spans="1:25" x14ac:dyDescent="0.25">
      <c r="A196" s="43">
        <v>178</v>
      </c>
      <c r="B196" s="40"/>
      <c r="C196" s="44">
        <v>0.25</v>
      </c>
      <c r="D196" s="44">
        <v>0.1</v>
      </c>
      <c r="E196" s="45">
        <f t="shared" si="21"/>
        <v>0.15</v>
      </c>
      <c r="F196" s="46">
        <v>20</v>
      </c>
      <c r="G196" s="47">
        <v>60</v>
      </c>
      <c r="H196" s="47">
        <v>28.5</v>
      </c>
      <c r="I196" s="47">
        <v>58.7</v>
      </c>
      <c r="J196" s="47">
        <v>58.3</v>
      </c>
      <c r="K196" s="47">
        <v>55.2</v>
      </c>
      <c r="L196" s="47">
        <v>58.3</v>
      </c>
      <c r="M196" s="47">
        <v>58.1</v>
      </c>
      <c r="N196" s="47">
        <v>57.95</v>
      </c>
      <c r="O196" s="47">
        <v>58.5</v>
      </c>
      <c r="P196" s="47">
        <v>58.3</v>
      </c>
      <c r="Q196" s="47">
        <v>57.05</v>
      </c>
      <c r="S196" s="21"/>
      <c r="T196" s="21"/>
      <c r="U196" s="21"/>
      <c r="V196" s="21"/>
      <c r="W196" s="21"/>
      <c r="X196" s="21"/>
      <c r="Y196" s="21"/>
    </row>
    <row r="197" spans="1:25" x14ac:dyDescent="0.25">
      <c r="A197" s="43">
        <v>179</v>
      </c>
      <c r="B197" s="40"/>
      <c r="C197" s="44">
        <v>0.25</v>
      </c>
      <c r="D197" s="44">
        <v>0.1</v>
      </c>
      <c r="E197" s="45">
        <f t="shared" si="21"/>
        <v>0.15</v>
      </c>
      <c r="F197" s="46">
        <v>20</v>
      </c>
      <c r="G197" s="47">
        <v>60</v>
      </c>
      <c r="H197" s="47">
        <v>28.5</v>
      </c>
      <c r="I197" s="47">
        <v>58.7</v>
      </c>
      <c r="J197" s="47">
        <v>58.5</v>
      </c>
      <c r="K197" s="47">
        <v>55.35</v>
      </c>
      <c r="L197" s="47">
        <v>58.5</v>
      </c>
      <c r="M197" s="47">
        <v>58.1</v>
      </c>
      <c r="N197" s="47">
        <v>58.15</v>
      </c>
      <c r="O197" s="47">
        <v>58.7</v>
      </c>
      <c r="P197" s="47">
        <v>58.5</v>
      </c>
      <c r="Q197" s="47">
        <v>57.2</v>
      </c>
      <c r="S197" s="21"/>
      <c r="T197" s="21"/>
      <c r="U197" s="21"/>
      <c r="V197" s="21"/>
      <c r="W197" s="21"/>
      <c r="X197" s="21"/>
      <c r="Y197" s="21"/>
    </row>
    <row r="198" spans="1:25" x14ac:dyDescent="0.25">
      <c r="A198" s="43">
        <v>180</v>
      </c>
      <c r="B198" s="40"/>
      <c r="C198" s="44">
        <v>0.25</v>
      </c>
      <c r="D198" s="44">
        <v>0.1</v>
      </c>
      <c r="E198" s="45">
        <f t="shared" si="21"/>
        <v>0.15</v>
      </c>
      <c r="F198" s="46">
        <v>20</v>
      </c>
      <c r="G198" s="47">
        <v>60.05</v>
      </c>
      <c r="H198" s="47">
        <v>28.4</v>
      </c>
      <c r="I198" s="47">
        <v>58.7</v>
      </c>
      <c r="J198" s="47">
        <v>58.5</v>
      </c>
      <c r="K198" s="47">
        <v>55.3</v>
      </c>
      <c r="L198" s="47">
        <v>58.5</v>
      </c>
      <c r="M198" s="47">
        <v>58.1</v>
      </c>
      <c r="N198" s="47">
        <v>58.15</v>
      </c>
      <c r="O198" s="47">
        <v>58.7</v>
      </c>
      <c r="P198" s="47">
        <v>58.5</v>
      </c>
      <c r="Q198" s="47">
        <v>57.3</v>
      </c>
      <c r="S198" s="21"/>
      <c r="T198" s="21"/>
      <c r="U198" s="21"/>
      <c r="V198" s="21"/>
      <c r="W198" s="21"/>
      <c r="X198" s="21"/>
      <c r="Y198" s="21"/>
    </row>
    <row r="199" spans="1:25" x14ac:dyDescent="0.25">
      <c r="A199" s="40"/>
      <c r="B199" s="40"/>
      <c r="C199" s="45"/>
      <c r="D199" s="45"/>
      <c r="E199" s="45"/>
      <c r="F199" s="48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21"/>
      <c r="S199" s="21"/>
      <c r="T199" s="21"/>
      <c r="U199" s="21"/>
      <c r="V199" s="21"/>
      <c r="W199" s="21"/>
      <c r="X199" s="21"/>
      <c r="Y199" s="21"/>
    </row>
    <row r="200" spans="1:25" x14ac:dyDescent="0.25">
      <c r="A200" s="43">
        <v>181</v>
      </c>
      <c r="B200" s="43" t="s">
        <v>65</v>
      </c>
      <c r="C200" s="44">
        <v>0.155</v>
      </c>
      <c r="D200" s="44">
        <v>9.5000000000000001E-2</v>
      </c>
      <c r="E200" s="45">
        <f t="shared" ref="E200:E209" si="22">C200-D200</f>
        <v>0.06</v>
      </c>
      <c r="F200" s="46">
        <v>15</v>
      </c>
      <c r="G200" s="47">
        <v>62</v>
      </c>
      <c r="H200" s="47">
        <v>28.65</v>
      </c>
      <c r="I200" s="47">
        <v>60.6</v>
      </c>
      <c r="J200" s="47">
        <v>60.5</v>
      </c>
      <c r="K200" s="47">
        <v>57.15</v>
      </c>
      <c r="L200" s="47">
        <v>60.5</v>
      </c>
      <c r="M200" s="47">
        <v>60.1</v>
      </c>
      <c r="N200" s="47">
        <v>60</v>
      </c>
      <c r="O200" s="47">
        <v>60.6</v>
      </c>
      <c r="P200" s="47">
        <v>60.5</v>
      </c>
      <c r="Q200" s="47">
        <v>59.1</v>
      </c>
      <c r="S200" s="21"/>
      <c r="T200" s="21"/>
      <c r="U200" s="21"/>
      <c r="V200" s="21"/>
      <c r="W200" s="21"/>
      <c r="X200" s="21"/>
      <c r="Y200" s="21"/>
    </row>
    <row r="201" spans="1:25" x14ac:dyDescent="0.25">
      <c r="A201" s="43">
        <v>182</v>
      </c>
      <c r="B201" s="40"/>
      <c r="C201" s="44">
        <v>0.155</v>
      </c>
      <c r="D201" s="44">
        <v>9.5000000000000001E-2</v>
      </c>
      <c r="E201" s="45">
        <f t="shared" si="22"/>
        <v>0.06</v>
      </c>
      <c r="F201" s="46">
        <v>15</v>
      </c>
      <c r="G201" s="47">
        <v>62</v>
      </c>
      <c r="H201" s="47">
        <v>28.65</v>
      </c>
      <c r="I201" s="47">
        <v>60.6</v>
      </c>
      <c r="J201" s="47">
        <v>60.5</v>
      </c>
      <c r="K201" s="47">
        <v>57.15</v>
      </c>
      <c r="L201" s="47">
        <v>60.5</v>
      </c>
      <c r="M201" s="47">
        <v>60.1</v>
      </c>
      <c r="N201" s="47">
        <v>60.1</v>
      </c>
      <c r="O201" s="47">
        <v>60.6</v>
      </c>
      <c r="P201" s="47">
        <v>60.5</v>
      </c>
      <c r="Q201" s="47">
        <v>59.25</v>
      </c>
      <c r="S201" s="21"/>
      <c r="T201" s="21"/>
      <c r="U201" s="21"/>
      <c r="V201" s="21"/>
      <c r="W201" s="21"/>
      <c r="X201" s="21"/>
      <c r="Y201" s="21"/>
    </row>
    <row r="202" spans="1:25" x14ac:dyDescent="0.25">
      <c r="A202" s="43">
        <v>183</v>
      </c>
      <c r="B202" s="40"/>
      <c r="C202" s="44">
        <v>0.155</v>
      </c>
      <c r="D202" s="44">
        <v>9.5000000000000001E-2</v>
      </c>
      <c r="E202" s="45">
        <f t="shared" si="22"/>
        <v>0.06</v>
      </c>
      <c r="F202" s="46">
        <v>15</v>
      </c>
      <c r="G202" s="47">
        <v>62.1</v>
      </c>
      <c r="H202" s="47">
        <v>28.65</v>
      </c>
      <c r="I202" s="47">
        <v>60.6</v>
      </c>
      <c r="J202" s="47">
        <v>60.5</v>
      </c>
      <c r="K202" s="47">
        <v>57.1</v>
      </c>
      <c r="L202" s="47">
        <v>60.5</v>
      </c>
      <c r="M202" s="47">
        <v>60.1</v>
      </c>
      <c r="N202" s="47">
        <v>60.150000000000006</v>
      </c>
      <c r="O202" s="47">
        <v>60.6</v>
      </c>
      <c r="P202" s="47">
        <v>60.5</v>
      </c>
      <c r="Q202" s="47">
        <v>59.25</v>
      </c>
      <c r="S202" s="21"/>
      <c r="T202" s="21"/>
      <c r="U202" s="21"/>
      <c r="V202" s="21"/>
      <c r="W202" s="21"/>
      <c r="X202" s="21"/>
      <c r="Y202" s="21"/>
    </row>
    <row r="203" spans="1:25" x14ac:dyDescent="0.25">
      <c r="A203" s="43">
        <v>184</v>
      </c>
      <c r="B203" s="40"/>
      <c r="C203" s="44">
        <v>0.155</v>
      </c>
      <c r="D203" s="44">
        <v>9.5000000000000001E-2</v>
      </c>
      <c r="E203" s="45">
        <f t="shared" si="22"/>
        <v>0.06</v>
      </c>
      <c r="F203" s="46">
        <v>15</v>
      </c>
      <c r="G203" s="47">
        <v>61.9</v>
      </c>
      <c r="H203" s="47">
        <v>28.549999999999997</v>
      </c>
      <c r="I203" s="47">
        <v>60.5</v>
      </c>
      <c r="J203" s="47">
        <v>60.3</v>
      </c>
      <c r="K203" s="47">
        <v>57</v>
      </c>
      <c r="L203" s="47">
        <v>60.3</v>
      </c>
      <c r="M203" s="47">
        <v>59.9</v>
      </c>
      <c r="N203" s="47">
        <v>60</v>
      </c>
      <c r="O203" s="47">
        <v>60.5</v>
      </c>
      <c r="P203" s="47">
        <v>60.3</v>
      </c>
      <c r="Q203" s="47">
        <v>59.099999999999994</v>
      </c>
      <c r="S203" s="21"/>
      <c r="T203" s="21"/>
      <c r="U203" s="21"/>
      <c r="V203" s="21"/>
      <c r="W203" s="21"/>
      <c r="X203" s="21"/>
      <c r="Y203" s="21"/>
    </row>
    <row r="204" spans="1:25" x14ac:dyDescent="0.25">
      <c r="A204" s="43">
        <v>185</v>
      </c>
      <c r="B204" s="40"/>
      <c r="C204" s="44">
        <v>0.155</v>
      </c>
      <c r="D204" s="44">
        <v>9.5000000000000001E-2</v>
      </c>
      <c r="E204" s="45">
        <f t="shared" si="22"/>
        <v>0.06</v>
      </c>
      <c r="F204" s="46">
        <v>15</v>
      </c>
      <c r="G204" s="47">
        <v>61.9</v>
      </c>
      <c r="H204" s="47">
        <v>28.65</v>
      </c>
      <c r="I204" s="47">
        <v>60.6</v>
      </c>
      <c r="J204" s="47">
        <v>60.4</v>
      </c>
      <c r="K204" s="47">
        <v>57.05</v>
      </c>
      <c r="L204" s="47">
        <v>60.4</v>
      </c>
      <c r="M204" s="47">
        <v>60</v>
      </c>
      <c r="N204" s="47">
        <v>60.1</v>
      </c>
      <c r="O204" s="47">
        <v>60.6</v>
      </c>
      <c r="P204" s="47">
        <v>60.4</v>
      </c>
      <c r="Q204" s="47">
        <v>59.2</v>
      </c>
      <c r="S204" s="21"/>
      <c r="T204" s="21"/>
      <c r="U204" s="21"/>
      <c r="V204" s="21"/>
      <c r="W204" s="21"/>
      <c r="X204" s="21"/>
      <c r="Y204" s="21"/>
    </row>
    <row r="205" spans="1:25" x14ac:dyDescent="0.25">
      <c r="A205" s="43">
        <v>186</v>
      </c>
      <c r="B205" s="40"/>
      <c r="C205" s="44">
        <v>0.155</v>
      </c>
      <c r="D205" s="44">
        <v>9.5000000000000001E-2</v>
      </c>
      <c r="E205" s="45">
        <f t="shared" si="22"/>
        <v>0.06</v>
      </c>
      <c r="F205" s="46">
        <v>15</v>
      </c>
      <c r="G205" s="47">
        <v>62.2</v>
      </c>
      <c r="H205" s="47">
        <v>28.55</v>
      </c>
      <c r="I205" s="47">
        <v>60.6</v>
      </c>
      <c r="J205" s="47">
        <v>60.4</v>
      </c>
      <c r="K205" s="47">
        <v>57.05</v>
      </c>
      <c r="L205" s="47">
        <v>60.4</v>
      </c>
      <c r="M205" s="47">
        <v>60</v>
      </c>
      <c r="N205" s="47">
        <v>60.1</v>
      </c>
      <c r="O205" s="47">
        <v>60.6</v>
      </c>
      <c r="P205" s="47">
        <v>60.4</v>
      </c>
      <c r="Q205" s="47">
        <v>59</v>
      </c>
      <c r="S205" s="21"/>
      <c r="T205" s="21"/>
      <c r="U205" s="21"/>
      <c r="V205" s="21"/>
      <c r="W205" s="21"/>
      <c r="X205" s="21"/>
      <c r="Y205" s="21"/>
    </row>
    <row r="206" spans="1:25" x14ac:dyDescent="0.25">
      <c r="A206" s="43">
        <v>187</v>
      </c>
      <c r="B206" s="40"/>
      <c r="C206" s="44">
        <v>0.155</v>
      </c>
      <c r="D206" s="44">
        <v>9.5000000000000001E-2</v>
      </c>
      <c r="E206" s="45">
        <f t="shared" si="22"/>
        <v>0.06</v>
      </c>
      <c r="F206" s="46">
        <v>15</v>
      </c>
      <c r="G206" s="47">
        <v>62.2</v>
      </c>
      <c r="H206" s="47">
        <v>28.55</v>
      </c>
      <c r="I206" s="47">
        <v>60.6</v>
      </c>
      <c r="J206" s="47">
        <v>60.4</v>
      </c>
      <c r="K206" s="47">
        <v>57</v>
      </c>
      <c r="L206" s="47">
        <v>60.4</v>
      </c>
      <c r="M206" s="47">
        <v>60</v>
      </c>
      <c r="N206" s="47">
        <v>60.1</v>
      </c>
      <c r="O206" s="47">
        <v>60.6</v>
      </c>
      <c r="P206" s="47">
        <v>60.4</v>
      </c>
      <c r="Q206" s="47">
        <v>59</v>
      </c>
      <c r="S206" s="21"/>
      <c r="T206" s="21"/>
      <c r="U206" s="21"/>
      <c r="V206" s="21"/>
      <c r="W206" s="21"/>
      <c r="X206" s="21"/>
      <c r="Y206" s="21"/>
    </row>
    <row r="207" spans="1:25" x14ac:dyDescent="0.25">
      <c r="A207" s="43">
        <v>188</v>
      </c>
      <c r="B207" s="40"/>
      <c r="C207" s="44">
        <v>0.155</v>
      </c>
      <c r="D207" s="44">
        <v>9.5000000000000001E-2</v>
      </c>
      <c r="E207" s="45">
        <f t="shared" si="22"/>
        <v>0.06</v>
      </c>
      <c r="F207" s="46">
        <v>15</v>
      </c>
      <c r="G207" s="47">
        <v>62.1</v>
      </c>
      <c r="H207" s="47">
        <v>28.55</v>
      </c>
      <c r="I207" s="47">
        <v>60.6</v>
      </c>
      <c r="J207" s="47">
        <v>60.4</v>
      </c>
      <c r="K207" s="47">
        <v>57</v>
      </c>
      <c r="L207" s="47">
        <v>60.4</v>
      </c>
      <c r="M207" s="47">
        <v>60</v>
      </c>
      <c r="N207" s="47">
        <v>60</v>
      </c>
      <c r="O207" s="47">
        <v>60.6</v>
      </c>
      <c r="P207" s="47">
        <v>60.4</v>
      </c>
      <c r="Q207" s="47">
        <v>59</v>
      </c>
      <c r="S207" s="21"/>
      <c r="T207" s="21"/>
      <c r="U207" s="21"/>
      <c r="V207" s="21"/>
      <c r="W207" s="21"/>
      <c r="X207" s="21"/>
      <c r="Y207" s="21"/>
    </row>
    <row r="208" spans="1:25" x14ac:dyDescent="0.25">
      <c r="A208" s="43">
        <v>189</v>
      </c>
      <c r="B208" s="40"/>
      <c r="C208" s="44">
        <v>0.155</v>
      </c>
      <c r="D208" s="44">
        <v>9.5000000000000001E-2</v>
      </c>
      <c r="E208" s="45">
        <f t="shared" si="22"/>
        <v>0.06</v>
      </c>
      <c r="F208" s="46">
        <v>15</v>
      </c>
      <c r="G208" s="47">
        <v>62.2</v>
      </c>
      <c r="H208" s="47">
        <v>28.65</v>
      </c>
      <c r="I208" s="47">
        <v>60.6</v>
      </c>
      <c r="J208" s="47">
        <v>60.4</v>
      </c>
      <c r="K208" s="47">
        <v>56.7</v>
      </c>
      <c r="L208" s="47">
        <v>60.4</v>
      </c>
      <c r="M208" s="47">
        <v>60</v>
      </c>
      <c r="N208" s="47">
        <v>59.95</v>
      </c>
      <c r="O208" s="47">
        <v>60.6</v>
      </c>
      <c r="P208" s="47">
        <v>60.4</v>
      </c>
      <c r="Q208" s="47">
        <v>58.8</v>
      </c>
      <c r="S208" s="21"/>
      <c r="T208" s="21"/>
      <c r="U208" s="21"/>
      <c r="V208" s="21"/>
      <c r="W208" s="21"/>
      <c r="X208" s="21"/>
      <c r="Y208" s="21"/>
    </row>
    <row r="209" spans="1:25" x14ac:dyDescent="0.25">
      <c r="A209" s="43">
        <v>190</v>
      </c>
      <c r="B209" s="40"/>
      <c r="C209" s="44">
        <v>0.155</v>
      </c>
      <c r="D209" s="44">
        <v>9.5000000000000001E-2</v>
      </c>
      <c r="E209" s="45">
        <f t="shared" si="22"/>
        <v>0.06</v>
      </c>
      <c r="F209" s="46">
        <v>15</v>
      </c>
      <c r="G209" s="47">
        <v>62.2</v>
      </c>
      <c r="H209" s="47">
        <v>28.549999999999997</v>
      </c>
      <c r="I209" s="47">
        <v>60.6</v>
      </c>
      <c r="J209" s="47">
        <v>60.5</v>
      </c>
      <c r="K209" s="47">
        <v>56.599999999999994</v>
      </c>
      <c r="L209" s="47">
        <v>60.3</v>
      </c>
      <c r="M209" s="47">
        <v>60.1</v>
      </c>
      <c r="N209" s="47">
        <v>59.95</v>
      </c>
      <c r="O209" s="47">
        <v>60.5</v>
      </c>
      <c r="P209" s="47">
        <v>60.5</v>
      </c>
      <c r="Q209" s="47">
        <v>58.9</v>
      </c>
      <c r="S209" s="21"/>
      <c r="T209" s="21"/>
      <c r="U209" s="21"/>
      <c r="V209" s="21"/>
      <c r="W209" s="21"/>
      <c r="X209" s="21"/>
      <c r="Y209" s="21"/>
    </row>
    <row r="210" spans="1:25" x14ac:dyDescent="0.25">
      <c r="A210" s="40"/>
      <c r="B210" s="40"/>
      <c r="C210" s="45"/>
      <c r="D210" s="45"/>
      <c r="E210" s="45"/>
      <c r="F210" s="48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21"/>
      <c r="S210" s="21"/>
      <c r="T210" s="21"/>
      <c r="U210" s="21"/>
      <c r="V210" s="21"/>
      <c r="W210" s="21"/>
      <c r="X210" s="21"/>
      <c r="Y210" s="21"/>
    </row>
    <row r="211" spans="1:25" x14ac:dyDescent="0.25">
      <c r="A211" s="43">
        <v>191</v>
      </c>
      <c r="B211" s="43" t="s">
        <v>66</v>
      </c>
      <c r="C211" s="44">
        <v>0.1</v>
      </c>
      <c r="D211" s="44">
        <v>0.09</v>
      </c>
      <c r="E211" s="45">
        <f t="shared" ref="E211:E220" si="23">C211-D211</f>
        <v>1.0000000000000009E-2</v>
      </c>
      <c r="F211" s="46">
        <v>10</v>
      </c>
      <c r="G211" s="47">
        <v>62.2</v>
      </c>
      <c r="H211" s="47">
        <v>29.200000000000003</v>
      </c>
      <c r="I211" s="47">
        <v>60.7</v>
      </c>
      <c r="J211" s="47">
        <v>60.5</v>
      </c>
      <c r="K211" s="47">
        <v>57.1</v>
      </c>
      <c r="L211" s="47">
        <v>60.5</v>
      </c>
      <c r="M211" s="47">
        <v>60.1</v>
      </c>
      <c r="N211" s="47">
        <v>60.150000000000006</v>
      </c>
      <c r="O211" s="47">
        <v>60.5</v>
      </c>
      <c r="P211" s="47">
        <v>60.5</v>
      </c>
      <c r="Q211" s="47">
        <v>59.2</v>
      </c>
      <c r="R211" s="21"/>
      <c r="S211" s="21"/>
      <c r="T211" s="21"/>
      <c r="U211" s="21"/>
      <c r="V211" s="21"/>
      <c r="W211" s="21"/>
      <c r="X211" s="21"/>
      <c r="Y211" s="21"/>
    </row>
    <row r="212" spans="1:25" x14ac:dyDescent="0.25">
      <c r="A212" s="43">
        <v>192</v>
      </c>
      <c r="B212" s="40"/>
      <c r="C212" s="44">
        <v>0.1</v>
      </c>
      <c r="D212" s="44">
        <v>0.09</v>
      </c>
      <c r="E212" s="45">
        <f t="shared" si="23"/>
        <v>1.0000000000000009E-2</v>
      </c>
      <c r="F212" s="46">
        <v>10</v>
      </c>
      <c r="G212" s="47">
        <v>62.05</v>
      </c>
      <c r="H212" s="47">
        <v>29.1</v>
      </c>
      <c r="I212" s="47">
        <v>60.5</v>
      </c>
      <c r="J212" s="47">
        <v>60.3</v>
      </c>
      <c r="K212" s="47">
        <v>56.8</v>
      </c>
      <c r="L212" s="47">
        <v>60.3</v>
      </c>
      <c r="M212" s="47">
        <v>59.9</v>
      </c>
      <c r="N212" s="47">
        <v>59.95</v>
      </c>
      <c r="O212" s="47">
        <v>60.3</v>
      </c>
      <c r="P212" s="47">
        <v>60.3</v>
      </c>
      <c r="Q212" s="47">
        <v>58.8</v>
      </c>
      <c r="R212" s="21"/>
      <c r="S212" s="21"/>
      <c r="T212" s="21"/>
      <c r="U212" s="21"/>
      <c r="V212" s="21"/>
      <c r="W212" s="21"/>
      <c r="X212" s="21"/>
      <c r="Y212" s="21"/>
    </row>
    <row r="213" spans="1:25" x14ac:dyDescent="0.25">
      <c r="A213" s="43">
        <v>193</v>
      </c>
      <c r="B213" s="40"/>
      <c r="C213" s="44">
        <v>0.1</v>
      </c>
      <c r="D213" s="44">
        <v>0.09</v>
      </c>
      <c r="E213" s="45">
        <f t="shared" si="23"/>
        <v>1.0000000000000009E-2</v>
      </c>
      <c r="F213" s="46">
        <v>10</v>
      </c>
      <c r="G213" s="47">
        <v>62.2</v>
      </c>
      <c r="H213" s="47">
        <v>29.1</v>
      </c>
      <c r="I213" s="47">
        <v>60.5</v>
      </c>
      <c r="J213" s="47">
        <v>60.3</v>
      </c>
      <c r="K213" s="47">
        <v>56.9</v>
      </c>
      <c r="L213" s="47">
        <v>60.3</v>
      </c>
      <c r="M213" s="47">
        <v>59.9</v>
      </c>
      <c r="N213" s="47">
        <v>60.05</v>
      </c>
      <c r="O213" s="47">
        <v>60.3</v>
      </c>
      <c r="P213" s="47">
        <v>60.3</v>
      </c>
      <c r="Q213" s="47">
        <v>58.8</v>
      </c>
      <c r="R213" s="21"/>
      <c r="S213" s="21"/>
      <c r="T213" s="21"/>
      <c r="U213" s="21"/>
      <c r="V213" s="21"/>
      <c r="W213" s="21"/>
      <c r="X213" s="21"/>
      <c r="Y213" s="21"/>
    </row>
    <row r="214" spans="1:25" x14ac:dyDescent="0.25">
      <c r="A214" s="43">
        <v>194</v>
      </c>
      <c r="B214" s="40"/>
      <c r="C214" s="44">
        <v>0.1</v>
      </c>
      <c r="D214" s="44">
        <v>0.09</v>
      </c>
      <c r="E214" s="45">
        <f t="shared" si="23"/>
        <v>1.0000000000000009E-2</v>
      </c>
      <c r="F214" s="46">
        <v>10</v>
      </c>
      <c r="G214" s="47">
        <v>62.05</v>
      </c>
      <c r="H214" s="47">
        <v>29.3</v>
      </c>
      <c r="I214" s="47">
        <v>60.5</v>
      </c>
      <c r="J214" s="47">
        <v>60.3</v>
      </c>
      <c r="K214" s="47">
        <v>56.85</v>
      </c>
      <c r="L214" s="47">
        <v>60.3</v>
      </c>
      <c r="M214" s="47">
        <v>59.9</v>
      </c>
      <c r="N214" s="47">
        <v>59.95</v>
      </c>
      <c r="O214" s="47">
        <v>60.3</v>
      </c>
      <c r="P214" s="47">
        <v>60.3</v>
      </c>
      <c r="Q214" s="47">
        <v>58.8</v>
      </c>
      <c r="R214" s="21"/>
      <c r="S214" s="21"/>
      <c r="T214" s="21"/>
      <c r="U214" s="21"/>
      <c r="V214" s="21"/>
      <c r="W214" s="21"/>
      <c r="X214" s="21"/>
      <c r="Y214" s="21"/>
    </row>
    <row r="215" spans="1:25" x14ac:dyDescent="0.25">
      <c r="A215" s="43">
        <v>195</v>
      </c>
      <c r="B215" s="40"/>
      <c r="C215" s="44">
        <v>0.1</v>
      </c>
      <c r="D215" s="44">
        <v>0.09</v>
      </c>
      <c r="E215" s="45">
        <f t="shared" si="23"/>
        <v>1.0000000000000009E-2</v>
      </c>
      <c r="F215" s="46">
        <v>10</v>
      </c>
      <c r="G215" s="47">
        <v>61.9</v>
      </c>
      <c r="H215" s="47">
        <v>29.200000000000003</v>
      </c>
      <c r="I215" s="47">
        <v>60.5</v>
      </c>
      <c r="J215" s="47">
        <v>60.3</v>
      </c>
      <c r="K215" s="47">
        <v>56.7</v>
      </c>
      <c r="L215" s="47">
        <v>60.1</v>
      </c>
      <c r="M215" s="47">
        <v>59.9</v>
      </c>
      <c r="N215" s="47">
        <v>59.849999999999994</v>
      </c>
      <c r="O215" s="47">
        <v>60.3</v>
      </c>
      <c r="P215" s="47">
        <v>60.3</v>
      </c>
      <c r="Q215" s="47">
        <v>58.7</v>
      </c>
      <c r="R215" s="21"/>
      <c r="S215" s="21"/>
      <c r="T215" s="21"/>
      <c r="U215" s="21"/>
      <c r="V215" s="21"/>
      <c r="W215" s="21"/>
      <c r="X215" s="21"/>
      <c r="Y215" s="21"/>
    </row>
    <row r="216" spans="1:25" x14ac:dyDescent="0.25">
      <c r="A216" s="43">
        <v>196</v>
      </c>
      <c r="B216" s="40"/>
      <c r="C216" s="44">
        <v>0.1</v>
      </c>
      <c r="D216" s="44">
        <v>0.09</v>
      </c>
      <c r="E216" s="45">
        <f t="shared" si="23"/>
        <v>1.0000000000000009E-2</v>
      </c>
      <c r="F216" s="46">
        <v>10</v>
      </c>
      <c r="G216" s="47">
        <v>62.150000000000006</v>
      </c>
      <c r="H216" s="47">
        <v>29</v>
      </c>
      <c r="I216" s="47">
        <v>60.5</v>
      </c>
      <c r="J216" s="47">
        <v>60.3</v>
      </c>
      <c r="K216" s="47">
        <v>56.900000000000006</v>
      </c>
      <c r="L216" s="47">
        <v>60.1</v>
      </c>
      <c r="M216" s="47">
        <v>59.9</v>
      </c>
      <c r="N216" s="47">
        <v>59.9</v>
      </c>
      <c r="O216" s="47">
        <v>60.3</v>
      </c>
      <c r="P216" s="47">
        <v>60.3</v>
      </c>
      <c r="Q216" s="47">
        <v>58.75</v>
      </c>
      <c r="R216" s="21"/>
      <c r="S216" s="21"/>
      <c r="T216" s="21"/>
      <c r="U216" s="21"/>
      <c r="V216" s="21"/>
      <c r="W216" s="21"/>
      <c r="X216" s="21"/>
      <c r="Y216" s="21"/>
    </row>
    <row r="217" spans="1:25" x14ac:dyDescent="0.25">
      <c r="A217" s="43">
        <v>197</v>
      </c>
      <c r="B217" s="40"/>
      <c r="C217" s="44">
        <v>0.1</v>
      </c>
      <c r="D217" s="44">
        <v>0.09</v>
      </c>
      <c r="E217" s="45">
        <f t="shared" si="23"/>
        <v>1.0000000000000009E-2</v>
      </c>
      <c r="F217" s="46">
        <v>10</v>
      </c>
      <c r="G217" s="47">
        <v>62.1</v>
      </c>
      <c r="H217" s="47">
        <v>29.2</v>
      </c>
      <c r="I217" s="47">
        <v>60.6</v>
      </c>
      <c r="J217" s="47">
        <v>60.2</v>
      </c>
      <c r="K217" s="47">
        <v>57.099999999999994</v>
      </c>
      <c r="L217" s="47">
        <v>60.4</v>
      </c>
      <c r="M217" s="47">
        <v>60</v>
      </c>
      <c r="N217" s="47">
        <v>60.150000000000006</v>
      </c>
      <c r="O217" s="47">
        <v>60.4</v>
      </c>
      <c r="P217" s="47">
        <v>60.4</v>
      </c>
      <c r="Q217" s="47">
        <v>59.15</v>
      </c>
      <c r="R217" s="21"/>
      <c r="S217" s="21"/>
      <c r="T217" s="21"/>
      <c r="U217" s="21"/>
      <c r="V217" s="21"/>
      <c r="W217" s="21"/>
      <c r="X217" s="21"/>
      <c r="Y217" s="21"/>
    </row>
    <row r="218" spans="1:25" x14ac:dyDescent="0.25">
      <c r="A218" s="43">
        <v>198</v>
      </c>
      <c r="B218" s="40"/>
      <c r="C218" s="44">
        <v>0.1</v>
      </c>
      <c r="D218" s="44">
        <v>0.09</v>
      </c>
      <c r="E218" s="45">
        <f t="shared" si="23"/>
        <v>1.0000000000000009E-2</v>
      </c>
      <c r="F218" s="46">
        <v>10</v>
      </c>
      <c r="G218" s="47">
        <v>62</v>
      </c>
      <c r="H218" s="47">
        <v>29.1</v>
      </c>
      <c r="I218" s="47">
        <v>60.5</v>
      </c>
      <c r="J218" s="47">
        <v>60.2</v>
      </c>
      <c r="K218" s="47">
        <v>56.85</v>
      </c>
      <c r="L218" s="47">
        <v>60.4</v>
      </c>
      <c r="M218" s="47">
        <v>59.8</v>
      </c>
      <c r="N218" s="47">
        <v>60.150000000000006</v>
      </c>
      <c r="O218" s="47">
        <v>60.4</v>
      </c>
      <c r="P218" s="47">
        <v>60.2</v>
      </c>
      <c r="Q218" s="47">
        <v>59</v>
      </c>
      <c r="R218" s="21"/>
      <c r="S218" s="21"/>
      <c r="T218" s="21"/>
      <c r="U218" s="21"/>
      <c r="V218" s="21"/>
      <c r="W218" s="21"/>
      <c r="X218" s="21"/>
      <c r="Y218" s="21"/>
    </row>
    <row r="219" spans="1:25" x14ac:dyDescent="0.25">
      <c r="A219" s="43">
        <v>199</v>
      </c>
      <c r="B219" s="40"/>
      <c r="C219" s="44">
        <v>0.1</v>
      </c>
      <c r="D219" s="44">
        <v>0.09</v>
      </c>
      <c r="E219" s="45">
        <f t="shared" si="23"/>
        <v>1.0000000000000009E-2</v>
      </c>
      <c r="F219" s="46">
        <v>10</v>
      </c>
      <c r="G219" s="47">
        <v>62</v>
      </c>
      <c r="H219" s="47">
        <v>29</v>
      </c>
      <c r="I219" s="47">
        <v>60.4</v>
      </c>
      <c r="J219" s="47">
        <v>60.2</v>
      </c>
      <c r="K219" s="47">
        <v>56.900000000000006</v>
      </c>
      <c r="L219" s="47">
        <v>60.2</v>
      </c>
      <c r="M219" s="47">
        <v>59.8</v>
      </c>
      <c r="N219" s="47">
        <v>59.95</v>
      </c>
      <c r="O219" s="47">
        <v>60.2</v>
      </c>
      <c r="P219" s="47">
        <v>60.2</v>
      </c>
      <c r="Q219" s="47">
        <v>59</v>
      </c>
      <c r="R219" s="21"/>
      <c r="S219" s="21"/>
      <c r="T219" s="21"/>
      <c r="U219" s="21"/>
      <c r="V219" s="21"/>
      <c r="W219" s="21"/>
      <c r="X219" s="21"/>
      <c r="Y219" s="21"/>
    </row>
    <row r="220" spans="1:25" x14ac:dyDescent="0.25">
      <c r="A220" s="43">
        <v>200</v>
      </c>
      <c r="B220" s="40"/>
      <c r="C220" s="44">
        <v>0.1</v>
      </c>
      <c r="D220" s="44">
        <v>0.09</v>
      </c>
      <c r="E220" s="45">
        <f t="shared" si="23"/>
        <v>1.0000000000000009E-2</v>
      </c>
      <c r="F220" s="46">
        <v>10</v>
      </c>
      <c r="G220" s="47">
        <v>62</v>
      </c>
      <c r="H220" s="47">
        <v>29.2</v>
      </c>
      <c r="I220" s="47">
        <v>60.4</v>
      </c>
      <c r="J220" s="47">
        <v>60</v>
      </c>
      <c r="K220" s="47">
        <v>56.75</v>
      </c>
      <c r="L220" s="47">
        <v>60</v>
      </c>
      <c r="M220" s="47">
        <v>59.8</v>
      </c>
      <c r="N220" s="47">
        <v>59.849999999999994</v>
      </c>
      <c r="O220" s="47">
        <v>60.2</v>
      </c>
      <c r="P220" s="47">
        <v>60.2</v>
      </c>
      <c r="Q220" s="47">
        <v>58.650000000000006</v>
      </c>
      <c r="R220" s="21"/>
      <c r="S220" s="21"/>
      <c r="T220" s="21"/>
      <c r="U220" s="21"/>
      <c r="V220" s="21"/>
      <c r="W220" s="21"/>
      <c r="X220" s="21"/>
      <c r="Y220" s="21"/>
    </row>
    <row r="221" spans="1:25" x14ac:dyDescent="0.25">
      <c r="A221" s="40"/>
      <c r="B221" s="40"/>
      <c r="C221" s="45"/>
      <c r="D221" s="45"/>
      <c r="E221" s="45"/>
      <c r="F221" s="48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21"/>
      <c r="S221" s="21"/>
      <c r="T221" s="21"/>
      <c r="U221" s="21"/>
      <c r="V221" s="21"/>
      <c r="W221" s="21"/>
      <c r="X221" s="21"/>
      <c r="Y221" s="21"/>
    </row>
    <row r="222" spans="1:25" x14ac:dyDescent="0.25">
      <c r="A222" s="43">
        <v>201</v>
      </c>
      <c r="B222" s="43" t="s">
        <v>67</v>
      </c>
      <c r="C222" s="44">
        <v>7.4999999999999997E-2</v>
      </c>
      <c r="D222" s="44">
        <v>0.06</v>
      </c>
      <c r="E222" s="45">
        <f t="shared" ref="E222:E231" si="24">C222-D222</f>
        <v>1.4999999999999999E-2</v>
      </c>
      <c r="F222" s="46">
        <v>5</v>
      </c>
      <c r="G222" s="47">
        <v>61.8</v>
      </c>
      <c r="H222" s="47">
        <v>29.1</v>
      </c>
      <c r="I222" s="47">
        <v>60.2</v>
      </c>
      <c r="J222" s="47">
        <v>60</v>
      </c>
      <c r="K222" s="47">
        <v>56.7</v>
      </c>
      <c r="L222" s="47">
        <v>59.8</v>
      </c>
      <c r="M222" s="47">
        <v>59.8</v>
      </c>
      <c r="N222" s="47">
        <v>59.650000000000006</v>
      </c>
      <c r="O222" s="47">
        <v>60</v>
      </c>
      <c r="P222" s="47">
        <v>59.8</v>
      </c>
      <c r="Q222" s="47">
        <v>58.650000000000006</v>
      </c>
      <c r="R222" s="21"/>
      <c r="S222" s="21"/>
      <c r="T222" s="21"/>
      <c r="U222" s="21"/>
      <c r="V222" s="21"/>
      <c r="W222" s="21"/>
      <c r="X222" s="21"/>
      <c r="Y222" s="21"/>
    </row>
    <row r="223" spans="1:25" x14ac:dyDescent="0.25">
      <c r="A223" s="43">
        <v>202</v>
      </c>
      <c r="B223" s="40"/>
      <c r="C223" s="44">
        <v>7.4999999999999997E-2</v>
      </c>
      <c r="D223" s="44">
        <v>0.06</v>
      </c>
      <c r="E223" s="45">
        <f t="shared" si="24"/>
        <v>1.4999999999999999E-2</v>
      </c>
      <c r="F223" s="46">
        <v>5</v>
      </c>
      <c r="G223" s="47">
        <v>62.1</v>
      </c>
      <c r="H223" s="47">
        <v>29.200000000000003</v>
      </c>
      <c r="I223" s="47">
        <v>60.3</v>
      </c>
      <c r="J223" s="47">
        <v>60.1</v>
      </c>
      <c r="K223" s="47">
        <v>56.7</v>
      </c>
      <c r="L223" s="47">
        <v>59.9</v>
      </c>
      <c r="M223" s="47">
        <v>59.9</v>
      </c>
      <c r="N223" s="47">
        <v>59.75</v>
      </c>
      <c r="O223" s="47">
        <v>60.1</v>
      </c>
      <c r="P223" s="47">
        <v>59.8</v>
      </c>
      <c r="Q223" s="47">
        <v>58.75</v>
      </c>
      <c r="R223" s="21"/>
      <c r="S223" s="21"/>
      <c r="T223" s="21"/>
      <c r="U223" s="21"/>
      <c r="V223" s="21"/>
      <c r="W223" s="21"/>
      <c r="X223" s="21"/>
      <c r="Y223" s="21"/>
    </row>
    <row r="224" spans="1:25" x14ac:dyDescent="0.25">
      <c r="A224" s="43">
        <v>203</v>
      </c>
      <c r="B224" s="40"/>
      <c r="C224" s="44">
        <v>7.4999999999999997E-2</v>
      </c>
      <c r="D224" s="44">
        <v>0.06</v>
      </c>
      <c r="E224" s="45">
        <f t="shared" si="24"/>
        <v>1.4999999999999999E-2</v>
      </c>
      <c r="F224" s="46">
        <v>5</v>
      </c>
      <c r="G224" s="47">
        <v>62.2</v>
      </c>
      <c r="H224" s="47">
        <v>29.200000000000003</v>
      </c>
      <c r="I224" s="47">
        <v>60.3</v>
      </c>
      <c r="J224" s="47">
        <v>60.1</v>
      </c>
      <c r="K224" s="47">
        <v>56.65</v>
      </c>
      <c r="L224" s="47">
        <v>59.9</v>
      </c>
      <c r="M224" s="47">
        <v>59.9</v>
      </c>
      <c r="N224" s="47">
        <v>59.75</v>
      </c>
      <c r="O224" s="47">
        <v>60.1</v>
      </c>
      <c r="P224" s="47">
        <v>59.8</v>
      </c>
      <c r="Q224" s="47">
        <v>58.75</v>
      </c>
      <c r="R224" s="21"/>
      <c r="S224" s="21"/>
      <c r="T224" s="21"/>
      <c r="U224" s="21"/>
      <c r="V224" s="21"/>
      <c r="W224" s="21"/>
      <c r="X224" s="21"/>
      <c r="Y224" s="21"/>
    </row>
    <row r="225" spans="1:25" x14ac:dyDescent="0.25">
      <c r="A225" s="43">
        <v>204</v>
      </c>
      <c r="B225" s="40"/>
      <c r="C225" s="44">
        <v>7.4999999999999997E-2</v>
      </c>
      <c r="D225" s="44">
        <v>0.06</v>
      </c>
      <c r="E225" s="45">
        <f t="shared" si="24"/>
        <v>1.4999999999999999E-2</v>
      </c>
      <c r="F225" s="46">
        <v>5</v>
      </c>
      <c r="G225" s="47">
        <v>61.9</v>
      </c>
      <c r="H225" s="47">
        <v>29.2</v>
      </c>
      <c r="I225" s="47">
        <v>60.2</v>
      </c>
      <c r="J225" s="47">
        <v>60</v>
      </c>
      <c r="K225" s="47">
        <v>56.25</v>
      </c>
      <c r="L225" s="47">
        <v>59.8</v>
      </c>
      <c r="M225" s="47">
        <v>59.8</v>
      </c>
      <c r="N225" s="47">
        <v>59.25</v>
      </c>
      <c r="O225" s="47">
        <v>60</v>
      </c>
      <c r="P225" s="47">
        <v>59.7</v>
      </c>
      <c r="Q225" s="47">
        <v>58.5</v>
      </c>
      <c r="R225" s="21"/>
      <c r="S225" s="21"/>
      <c r="T225" s="21"/>
      <c r="U225" s="21"/>
      <c r="V225" s="21"/>
      <c r="W225" s="21"/>
      <c r="X225" s="21"/>
      <c r="Y225" s="21"/>
    </row>
    <row r="226" spans="1:25" x14ac:dyDescent="0.25">
      <c r="A226" s="43">
        <v>205</v>
      </c>
      <c r="B226" s="40"/>
      <c r="C226" s="44">
        <v>7.4999999999999997E-2</v>
      </c>
      <c r="D226" s="44">
        <v>0.06</v>
      </c>
      <c r="E226" s="45">
        <f t="shared" si="24"/>
        <v>1.4999999999999999E-2</v>
      </c>
      <c r="F226" s="46">
        <v>5</v>
      </c>
      <c r="G226" s="47">
        <v>62</v>
      </c>
      <c r="H226" s="47">
        <v>29.299999999999997</v>
      </c>
      <c r="I226" s="47">
        <v>60.2</v>
      </c>
      <c r="J226" s="47">
        <v>60</v>
      </c>
      <c r="K226" s="47">
        <v>56.45</v>
      </c>
      <c r="L226" s="47">
        <v>59.8</v>
      </c>
      <c r="M226" s="47">
        <v>59.8</v>
      </c>
      <c r="N226" s="47">
        <v>59.35</v>
      </c>
      <c r="O226" s="47">
        <v>60</v>
      </c>
      <c r="P226" s="47">
        <v>59.7</v>
      </c>
      <c r="Q226" s="47">
        <v>58.5</v>
      </c>
      <c r="R226" s="21"/>
      <c r="S226" s="21"/>
      <c r="T226" s="21"/>
      <c r="U226" s="21"/>
      <c r="V226" s="21"/>
      <c r="W226" s="21"/>
      <c r="X226" s="21"/>
      <c r="Y226" s="21"/>
    </row>
    <row r="227" spans="1:25" x14ac:dyDescent="0.25">
      <c r="A227" s="43">
        <v>206</v>
      </c>
      <c r="B227" s="40"/>
      <c r="C227" s="44">
        <v>7.4999999999999997E-2</v>
      </c>
      <c r="D227" s="44">
        <v>0.06</v>
      </c>
      <c r="E227" s="45">
        <f t="shared" si="24"/>
        <v>1.4999999999999999E-2</v>
      </c>
      <c r="F227" s="46">
        <v>5</v>
      </c>
      <c r="G227" s="47">
        <v>62.2</v>
      </c>
      <c r="H227" s="47">
        <v>29.35</v>
      </c>
      <c r="I227" s="47">
        <v>60.2</v>
      </c>
      <c r="J227" s="47">
        <v>60</v>
      </c>
      <c r="K227" s="47">
        <v>56.400000000000006</v>
      </c>
      <c r="L227" s="47">
        <v>59.8</v>
      </c>
      <c r="M227" s="47">
        <v>59.8</v>
      </c>
      <c r="N227" s="47">
        <v>59.35</v>
      </c>
      <c r="O227" s="47">
        <v>60</v>
      </c>
      <c r="P227" s="47">
        <v>59.7</v>
      </c>
      <c r="Q227" s="47">
        <v>58.6</v>
      </c>
      <c r="R227" s="21"/>
      <c r="S227" s="21"/>
      <c r="T227" s="21"/>
      <c r="U227" s="21"/>
      <c r="V227" s="21"/>
      <c r="W227" s="21"/>
      <c r="X227" s="21"/>
      <c r="Y227" s="21"/>
    </row>
    <row r="228" spans="1:25" x14ac:dyDescent="0.25">
      <c r="A228" s="43">
        <v>207</v>
      </c>
      <c r="B228" s="40"/>
      <c r="C228" s="44">
        <v>7.4999999999999997E-2</v>
      </c>
      <c r="D228" s="44">
        <v>0.06</v>
      </c>
      <c r="E228" s="45">
        <f t="shared" si="24"/>
        <v>1.4999999999999999E-2</v>
      </c>
      <c r="F228" s="46">
        <v>5</v>
      </c>
      <c r="G228" s="47">
        <v>62.1</v>
      </c>
      <c r="H228" s="47">
        <v>29.299999999999997</v>
      </c>
      <c r="I228" s="47">
        <v>60.2</v>
      </c>
      <c r="J228" s="47">
        <v>60</v>
      </c>
      <c r="K228" s="47">
        <v>56.55</v>
      </c>
      <c r="L228" s="47">
        <v>59.8</v>
      </c>
      <c r="M228" s="47">
        <v>59.8</v>
      </c>
      <c r="N228" s="47">
        <v>59.45</v>
      </c>
      <c r="O228" s="47">
        <v>60</v>
      </c>
      <c r="P228" s="47">
        <v>59.7</v>
      </c>
      <c r="Q228" s="47">
        <v>58.6</v>
      </c>
      <c r="R228" s="21"/>
      <c r="S228" s="21"/>
      <c r="T228" s="21"/>
      <c r="U228" s="21"/>
      <c r="V228" s="21"/>
      <c r="W228" s="21"/>
      <c r="X228" s="21"/>
      <c r="Y228" s="21"/>
    </row>
    <row r="229" spans="1:25" x14ac:dyDescent="0.25">
      <c r="A229" s="43">
        <v>208</v>
      </c>
      <c r="B229" s="40"/>
      <c r="C229" s="44">
        <v>7.4999999999999997E-2</v>
      </c>
      <c r="D229" s="44">
        <v>0.06</v>
      </c>
      <c r="E229" s="45">
        <f t="shared" si="24"/>
        <v>1.4999999999999999E-2</v>
      </c>
      <c r="F229" s="46">
        <v>5</v>
      </c>
      <c r="G229" s="47">
        <v>62.3</v>
      </c>
      <c r="H229" s="47">
        <v>29.450000000000003</v>
      </c>
      <c r="I229" s="47">
        <v>60.2</v>
      </c>
      <c r="J229" s="47">
        <v>60</v>
      </c>
      <c r="K229" s="47">
        <v>56.65</v>
      </c>
      <c r="L229" s="47">
        <v>60</v>
      </c>
      <c r="M229" s="47">
        <v>59.8</v>
      </c>
      <c r="N229" s="47">
        <v>59.650000000000006</v>
      </c>
      <c r="O229" s="47">
        <v>60</v>
      </c>
      <c r="P229" s="47">
        <v>59.8</v>
      </c>
      <c r="Q229" s="47">
        <v>58.650000000000006</v>
      </c>
      <c r="R229" s="21"/>
      <c r="S229" s="21"/>
      <c r="T229" s="21"/>
      <c r="U229" s="21"/>
      <c r="V229" s="21"/>
      <c r="W229" s="21"/>
      <c r="X229" s="21"/>
      <c r="Y229" s="21"/>
    </row>
    <row r="230" spans="1:25" x14ac:dyDescent="0.25">
      <c r="A230" s="43">
        <v>209</v>
      </c>
      <c r="B230" s="40"/>
      <c r="C230" s="44">
        <v>7.4999999999999997E-2</v>
      </c>
      <c r="D230" s="44">
        <v>0.06</v>
      </c>
      <c r="E230" s="45">
        <f t="shared" si="24"/>
        <v>1.4999999999999999E-2</v>
      </c>
      <c r="F230" s="46">
        <v>5</v>
      </c>
      <c r="G230" s="47">
        <v>62.2</v>
      </c>
      <c r="H230" s="47">
        <v>29.35</v>
      </c>
      <c r="I230" s="47">
        <v>60.2</v>
      </c>
      <c r="J230" s="47">
        <v>60.2</v>
      </c>
      <c r="K230" s="47">
        <v>56.75</v>
      </c>
      <c r="L230" s="47">
        <v>60</v>
      </c>
      <c r="M230" s="47">
        <v>59.8</v>
      </c>
      <c r="N230" s="47">
        <v>59.55</v>
      </c>
      <c r="O230" s="47">
        <v>60.2</v>
      </c>
      <c r="P230" s="47">
        <v>59.8</v>
      </c>
      <c r="Q230" s="47">
        <v>58.650000000000006</v>
      </c>
      <c r="R230" s="21"/>
      <c r="S230" s="21"/>
      <c r="T230" s="21"/>
      <c r="U230" s="21"/>
      <c r="V230" s="21"/>
      <c r="W230" s="21"/>
      <c r="X230" s="21"/>
      <c r="Y230" s="21"/>
    </row>
    <row r="231" spans="1:25" x14ac:dyDescent="0.25">
      <c r="A231" s="43">
        <v>210</v>
      </c>
      <c r="B231" s="40"/>
      <c r="C231" s="44">
        <v>7.4999999999999997E-2</v>
      </c>
      <c r="D231" s="44">
        <v>0.06</v>
      </c>
      <c r="E231" s="45">
        <f t="shared" si="24"/>
        <v>1.4999999999999999E-2</v>
      </c>
      <c r="F231" s="46">
        <v>5</v>
      </c>
      <c r="G231" s="47">
        <v>62.1</v>
      </c>
      <c r="H231" s="47">
        <v>29.65</v>
      </c>
      <c r="I231" s="47">
        <v>60.2</v>
      </c>
      <c r="J231" s="47">
        <v>60.2</v>
      </c>
      <c r="K231" s="47">
        <v>56.65</v>
      </c>
      <c r="L231" s="47">
        <v>60</v>
      </c>
      <c r="M231" s="47">
        <v>59.8</v>
      </c>
      <c r="N231" s="47">
        <v>59.45</v>
      </c>
      <c r="O231" s="47">
        <v>60.2</v>
      </c>
      <c r="P231" s="47">
        <v>59.8</v>
      </c>
      <c r="Q231" s="47">
        <v>58.5</v>
      </c>
      <c r="R231" s="21"/>
      <c r="S231" s="21"/>
      <c r="T231" s="21"/>
      <c r="U231" s="21"/>
      <c r="V231" s="21"/>
      <c r="W231" s="21"/>
      <c r="X231" s="21"/>
      <c r="Y231" s="21"/>
    </row>
    <row r="232" spans="1:25" x14ac:dyDescent="0.25">
      <c r="A232" s="40"/>
      <c r="B232" s="40"/>
      <c r="C232" s="45"/>
      <c r="D232" s="45"/>
      <c r="E232" s="45"/>
      <c r="F232" s="48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21"/>
      <c r="S232" s="21"/>
      <c r="T232" s="21"/>
      <c r="U232" s="21"/>
      <c r="V232" s="21"/>
      <c r="W232" s="21"/>
      <c r="X232" s="21"/>
      <c r="Y232" s="21"/>
    </row>
    <row r="233" spans="1:25" x14ac:dyDescent="0.25">
      <c r="A233" s="43">
        <v>211</v>
      </c>
      <c r="B233" s="43" t="s">
        <v>68</v>
      </c>
      <c r="C233" s="49">
        <v>0.4</v>
      </c>
      <c r="D233" s="49">
        <v>0.10500000000000001</v>
      </c>
      <c r="E233" s="50">
        <f t="shared" ref="E233:E242" si="25">C233-D233</f>
        <v>0.29500000000000004</v>
      </c>
      <c r="F233" s="46">
        <v>25</v>
      </c>
      <c r="G233" s="47">
        <v>61.25</v>
      </c>
      <c r="H233" s="47">
        <v>28.95</v>
      </c>
      <c r="I233" s="47">
        <v>61</v>
      </c>
      <c r="J233" s="47">
        <v>60.5</v>
      </c>
      <c r="K233" s="47">
        <v>56.8</v>
      </c>
      <c r="L233" s="47">
        <v>60.8</v>
      </c>
      <c r="M233" s="47">
        <v>60.3</v>
      </c>
      <c r="N233" s="47">
        <v>59.9</v>
      </c>
      <c r="O233" s="51"/>
      <c r="P233" s="51"/>
      <c r="Q233" s="51"/>
      <c r="R233" s="21"/>
      <c r="S233" s="21"/>
      <c r="T233" s="21"/>
      <c r="U233" s="21"/>
      <c r="V233" s="21"/>
      <c r="W233" s="21"/>
      <c r="X233" s="21"/>
      <c r="Y233" s="21"/>
    </row>
    <row r="234" spans="1:25" x14ac:dyDescent="0.25">
      <c r="A234" s="43">
        <v>212</v>
      </c>
      <c r="B234" s="40"/>
      <c r="C234" s="49">
        <v>0.4</v>
      </c>
      <c r="D234" s="49">
        <v>0.10500000000000001</v>
      </c>
      <c r="E234" s="50">
        <f t="shared" si="25"/>
        <v>0.29500000000000004</v>
      </c>
      <c r="F234" s="46">
        <v>25</v>
      </c>
      <c r="G234" s="47">
        <v>61.2</v>
      </c>
      <c r="H234" s="47">
        <v>29.25</v>
      </c>
      <c r="I234" s="47">
        <v>61.1</v>
      </c>
      <c r="J234" s="47">
        <v>60.7</v>
      </c>
      <c r="K234" s="47">
        <v>57.25</v>
      </c>
      <c r="L234" s="47">
        <v>60.9</v>
      </c>
      <c r="M234" s="47">
        <v>60.6</v>
      </c>
      <c r="N234" s="47">
        <v>60.25</v>
      </c>
      <c r="O234" s="51"/>
      <c r="P234" s="51"/>
      <c r="Q234" s="51"/>
      <c r="R234" s="21"/>
      <c r="S234" s="21"/>
      <c r="T234" s="21"/>
      <c r="U234" s="21"/>
      <c r="V234" s="21"/>
      <c r="W234" s="21"/>
      <c r="X234" s="21"/>
      <c r="Y234" s="21"/>
    </row>
    <row r="235" spans="1:25" x14ac:dyDescent="0.25">
      <c r="A235" s="43">
        <v>213</v>
      </c>
      <c r="B235" s="40"/>
      <c r="C235" s="49">
        <v>0.4</v>
      </c>
      <c r="D235" s="49">
        <v>0.10500000000000001</v>
      </c>
      <c r="E235" s="50">
        <f t="shared" si="25"/>
        <v>0.29500000000000004</v>
      </c>
      <c r="F235" s="46">
        <v>25</v>
      </c>
      <c r="G235" s="47">
        <v>61.25</v>
      </c>
      <c r="H235" s="47">
        <v>29.15</v>
      </c>
      <c r="I235" s="47">
        <v>61.1</v>
      </c>
      <c r="J235" s="47">
        <v>60.7</v>
      </c>
      <c r="K235" s="47">
        <v>57.1</v>
      </c>
      <c r="L235" s="47">
        <v>60.9</v>
      </c>
      <c r="M235" s="47">
        <v>60.6</v>
      </c>
      <c r="N235" s="47">
        <v>60.150000000000006</v>
      </c>
      <c r="O235" s="51"/>
      <c r="P235" s="51"/>
      <c r="Q235" s="51"/>
      <c r="R235" s="21"/>
      <c r="S235" s="21"/>
      <c r="T235" s="21"/>
      <c r="U235" s="21"/>
      <c r="V235" s="21"/>
      <c r="W235" s="21"/>
      <c r="X235" s="21"/>
      <c r="Y235" s="21"/>
    </row>
    <row r="236" spans="1:25" x14ac:dyDescent="0.25">
      <c r="A236" s="43">
        <v>214</v>
      </c>
      <c r="B236" s="40"/>
      <c r="C236" s="49">
        <v>0.4</v>
      </c>
      <c r="D236" s="49">
        <v>0.10500000000000001</v>
      </c>
      <c r="E236" s="50">
        <f t="shared" si="25"/>
        <v>0.29500000000000004</v>
      </c>
      <c r="F236" s="46">
        <v>25</v>
      </c>
      <c r="G236" s="47">
        <v>61.25</v>
      </c>
      <c r="H236" s="47">
        <v>29.05</v>
      </c>
      <c r="I236" s="47">
        <v>60.9</v>
      </c>
      <c r="J236" s="47">
        <v>60.6</v>
      </c>
      <c r="K236" s="47">
        <v>57.15</v>
      </c>
      <c r="L236" s="47">
        <v>60.9</v>
      </c>
      <c r="M236" s="47">
        <v>60.4</v>
      </c>
      <c r="N236" s="47">
        <v>59.95</v>
      </c>
      <c r="O236" s="51"/>
      <c r="P236" s="51"/>
      <c r="Q236" s="51"/>
      <c r="R236" s="21"/>
      <c r="S236" s="21"/>
      <c r="T236" s="21"/>
      <c r="U236" s="21"/>
      <c r="V236" s="21"/>
      <c r="W236" s="21"/>
      <c r="X236" s="21"/>
      <c r="Y236" s="21"/>
    </row>
    <row r="237" spans="1:25" x14ac:dyDescent="0.25">
      <c r="A237" s="43">
        <v>215</v>
      </c>
      <c r="B237" s="40"/>
      <c r="C237" s="49">
        <v>0.4</v>
      </c>
      <c r="D237" s="49">
        <v>0.10500000000000001</v>
      </c>
      <c r="E237" s="50">
        <f t="shared" si="25"/>
        <v>0.29500000000000004</v>
      </c>
      <c r="F237" s="46">
        <v>25</v>
      </c>
      <c r="G237" s="47">
        <v>61.25</v>
      </c>
      <c r="H237" s="47">
        <v>29.15</v>
      </c>
      <c r="I237" s="47">
        <v>60.9</v>
      </c>
      <c r="J237" s="47">
        <v>60.6</v>
      </c>
      <c r="K237" s="47">
        <v>57</v>
      </c>
      <c r="L237" s="47">
        <v>60.9</v>
      </c>
      <c r="M237" s="47">
        <v>60.4</v>
      </c>
      <c r="N237" s="47">
        <v>60.1</v>
      </c>
      <c r="O237" s="51"/>
      <c r="P237" s="51"/>
      <c r="Q237" s="51"/>
      <c r="R237" s="21"/>
      <c r="S237" s="21"/>
      <c r="T237" s="21"/>
      <c r="U237" s="21"/>
      <c r="V237" s="21"/>
      <c r="W237" s="21"/>
      <c r="X237" s="21"/>
      <c r="Y237" s="21"/>
    </row>
    <row r="238" spans="1:25" x14ac:dyDescent="0.25">
      <c r="A238" s="43">
        <v>216</v>
      </c>
      <c r="B238" s="40"/>
      <c r="C238" s="49">
        <v>0.4</v>
      </c>
      <c r="D238" s="49">
        <v>0.10500000000000001</v>
      </c>
      <c r="E238" s="50">
        <f t="shared" si="25"/>
        <v>0.29500000000000004</v>
      </c>
      <c r="F238" s="46">
        <v>25</v>
      </c>
      <c r="G238" s="47">
        <v>61.3</v>
      </c>
      <c r="H238" s="47">
        <v>29.05</v>
      </c>
      <c r="I238" s="47">
        <v>61.1</v>
      </c>
      <c r="J238" s="47">
        <v>60.6</v>
      </c>
      <c r="K238" s="47">
        <v>57.150000000000006</v>
      </c>
      <c r="L238" s="47">
        <v>60.9</v>
      </c>
      <c r="M238" s="47">
        <v>60.4</v>
      </c>
      <c r="N238" s="47">
        <v>60.25</v>
      </c>
      <c r="O238" s="51"/>
      <c r="P238" s="51"/>
      <c r="Q238" s="51"/>
      <c r="R238" s="21"/>
      <c r="S238" s="21"/>
      <c r="T238" s="21"/>
      <c r="U238" s="21"/>
      <c r="V238" s="21"/>
      <c r="W238" s="21"/>
      <c r="X238" s="21"/>
      <c r="Y238" s="21"/>
    </row>
    <row r="239" spans="1:25" x14ac:dyDescent="0.25">
      <c r="A239" s="43">
        <v>217</v>
      </c>
      <c r="B239" s="40"/>
      <c r="C239" s="49">
        <v>0.4</v>
      </c>
      <c r="D239" s="49">
        <v>0.10500000000000001</v>
      </c>
      <c r="E239" s="50">
        <f t="shared" si="25"/>
        <v>0.29500000000000004</v>
      </c>
      <c r="F239" s="46">
        <v>25</v>
      </c>
      <c r="G239" s="47">
        <v>61.2</v>
      </c>
      <c r="H239" s="47">
        <v>29.1</v>
      </c>
      <c r="I239" s="47">
        <v>61.1</v>
      </c>
      <c r="J239" s="47">
        <v>60.6</v>
      </c>
      <c r="K239" s="47">
        <v>56.9</v>
      </c>
      <c r="L239" s="47">
        <v>60.7</v>
      </c>
      <c r="M239" s="47">
        <v>60.4</v>
      </c>
      <c r="N239" s="47">
        <v>60.1</v>
      </c>
      <c r="O239" s="51"/>
      <c r="P239" s="51"/>
      <c r="Q239" s="51"/>
      <c r="R239" s="21"/>
      <c r="S239" s="21"/>
      <c r="T239" s="21"/>
      <c r="U239" s="21"/>
      <c r="V239" s="21"/>
      <c r="W239" s="21"/>
      <c r="X239" s="21"/>
      <c r="Y239" s="21"/>
    </row>
    <row r="240" spans="1:25" x14ac:dyDescent="0.25">
      <c r="A240" s="43">
        <v>218</v>
      </c>
      <c r="B240" s="40"/>
      <c r="C240" s="49">
        <v>0.4</v>
      </c>
      <c r="D240" s="49">
        <v>0.10500000000000001</v>
      </c>
      <c r="E240" s="50">
        <f t="shared" si="25"/>
        <v>0.29500000000000004</v>
      </c>
      <c r="F240" s="46">
        <v>25</v>
      </c>
      <c r="G240" s="47">
        <v>61.3</v>
      </c>
      <c r="H240" s="47">
        <v>29.049999999999997</v>
      </c>
      <c r="I240" s="47">
        <v>61</v>
      </c>
      <c r="J240" s="47">
        <v>60.5</v>
      </c>
      <c r="K240" s="47">
        <v>56.6</v>
      </c>
      <c r="L240" s="47">
        <v>60.8</v>
      </c>
      <c r="M240" s="47">
        <v>60.3</v>
      </c>
      <c r="N240" s="47">
        <v>60</v>
      </c>
      <c r="O240" s="51"/>
      <c r="P240" s="51"/>
      <c r="Q240" s="51"/>
      <c r="R240" s="21"/>
      <c r="S240" s="21"/>
      <c r="T240" s="21"/>
      <c r="U240" s="21"/>
      <c r="V240" s="21"/>
      <c r="W240" s="21"/>
      <c r="X240" s="21"/>
      <c r="Y240" s="21"/>
    </row>
    <row r="241" spans="1:25" x14ac:dyDescent="0.25">
      <c r="A241" s="43">
        <v>219</v>
      </c>
      <c r="B241" s="40"/>
      <c r="C241" s="49">
        <v>0.4</v>
      </c>
      <c r="D241" s="49">
        <v>0.10500000000000001</v>
      </c>
      <c r="E241" s="50">
        <f t="shared" si="25"/>
        <v>0.29500000000000004</v>
      </c>
      <c r="F241" s="46">
        <v>25</v>
      </c>
      <c r="G241" s="47">
        <v>61.349999999999994</v>
      </c>
      <c r="H241" s="47">
        <v>29.05</v>
      </c>
      <c r="I241" s="47">
        <v>61.1</v>
      </c>
      <c r="J241" s="47">
        <v>60.7</v>
      </c>
      <c r="K241" s="47">
        <v>57.150000000000006</v>
      </c>
      <c r="L241" s="47">
        <v>61.1</v>
      </c>
      <c r="M241" s="47">
        <v>60.6</v>
      </c>
      <c r="N241" s="47">
        <v>60.25</v>
      </c>
      <c r="O241" s="51"/>
      <c r="P241" s="51"/>
      <c r="Q241" s="51"/>
      <c r="R241" s="21"/>
      <c r="S241" s="21"/>
      <c r="T241" s="21"/>
      <c r="U241" s="21"/>
      <c r="V241" s="21"/>
      <c r="W241" s="21"/>
      <c r="X241" s="21"/>
      <c r="Y241" s="21"/>
    </row>
    <row r="242" spans="1:25" x14ac:dyDescent="0.25">
      <c r="A242" s="43">
        <v>220</v>
      </c>
      <c r="B242" s="40"/>
      <c r="C242" s="49">
        <v>0.4</v>
      </c>
      <c r="D242" s="49">
        <v>0.10500000000000001</v>
      </c>
      <c r="E242" s="50">
        <f t="shared" si="25"/>
        <v>0.29500000000000004</v>
      </c>
      <c r="F242" s="46">
        <v>25</v>
      </c>
      <c r="G242" s="47">
        <v>61.2</v>
      </c>
      <c r="H242" s="47">
        <v>28.95</v>
      </c>
      <c r="I242" s="47">
        <v>61</v>
      </c>
      <c r="J242" s="47">
        <v>60.5</v>
      </c>
      <c r="K242" s="47">
        <v>56.849999999999994</v>
      </c>
      <c r="L242" s="47">
        <v>60.8</v>
      </c>
      <c r="M242" s="47">
        <v>60.3</v>
      </c>
      <c r="N242" s="47">
        <v>60</v>
      </c>
      <c r="O242" s="51"/>
      <c r="P242" s="51"/>
      <c r="Q242" s="51"/>
      <c r="R242" s="21"/>
      <c r="S242" s="21"/>
      <c r="T242" s="21"/>
      <c r="U242" s="21"/>
      <c r="V242" s="21"/>
      <c r="W242" s="21"/>
      <c r="X242" s="21"/>
      <c r="Y242" s="21"/>
    </row>
    <row r="243" spans="1:25" x14ac:dyDescent="0.25">
      <c r="A243" s="40"/>
      <c r="B243" s="40"/>
      <c r="C243" s="45"/>
      <c r="D243" s="45"/>
      <c r="E243" s="45"/>
      <c r="F243" s="48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21"/>
      <c r="S243" s="21"/>
      <c r="T243" s="21"/>
      <c r="U243" s="21"/>
      <c r="V243" s="21"/>
      <c r="W243" s="21"/>
      <c r="X243" s="21"/>
      <c r="Y243" s="21"/>
    </row>
    <row r="244" spans="1:25" x14ac:dyDescent="0.25">
      <c r="A244" s="43">
        <v>221</v>
      </c>
      <c r="B244" s="43" t="s">
        <v>69</v>
      </c>
      <c r="C244" s="53">
        <f t="shared" ref="C244:C253" si="26">6/20</f>
        <v>0.3</v>
      </c>
      <c r="D244" s="53">
        <f t="shared" ref="D244:D253" si="27">1.9/20</f>
        <v>9.5000000000000001E-2</v>
      </c>
      <c r="E244" s="54">
        <f t="shared" ref="E244:E253" si="28">C244-D244</f>
        <v>0.20499999999999999</v>
      </c>
      <c r="F244" s="46">
        <v>20</v>
      </c>
      <c r="G244" s="47">
        <v>61.3</v>
      </c>
      <c r="H244" s="47">
        <v>29.35</v>
      </c>
      <c r="I244" s="47">
        <v>61.4</v>
      </c>
      <c r="J244" s="47">
        <v>61</v>
      </c>
      <c r="K244" s="47">
        <v>57.25</v>
      </c>
      <c r="L244" s="47">
        <v>61</v>
      </c>
      <c r="M244" s="47">
        <v>60.7</v>
      </c>
      <c r="N244" s="47">
        <v>60.150000000000006</v>
      </c>
      <c r="O244" s="51"/>
      <c r="P244" s="51"/>
      <c r="Q244" s="51"/>
      <c r="R244" s="21"/>
      <c r="S244" s="21"/>
      <c r="T244" s="21"/>
      <c r="U244" s="21"/>
      <c r="V244" s="21"/>
      <c r="W244" s="21"/>
      <c r="X244" s="21"/>
      <c r="Y244" s="21"/>
    </row>
    <row r="245" spans="1:25" x14ac:dyDescent="0.25">
      <c r="A245" s="43">
        <v>222</v>
      </c>
      <c r="B245" s="40"/>
      <c r="C245" s="53">
        <f t="shared" si="26"/>
        <v>0.3</v>
      </c>
      <c r="D245" s="53">
        <f t="shared" si="27"/>
        <v>9.5000000000000001E-2</v>
      </c>
      <c r="E245" s="54">
        <f t="shared" si="28"/>
        <v>0.20499999999999999</v>
      </c>
      <c r="F245" s="46">
        <v>20</v>
      </c>
      <c r="G245" s="47">
        <v>61.3</v>
      </c>
      <c r="H245" s="47">
        <v>29.4</v>
      </c>
      <c r="I245" s="47">
        <v>61.2</v>
      </c>
      <c r="J245" s="47">
        <v>61</v>
      </c>
      <c r="K245" s="47">
        <v>56.9</v>
      </c>
      <c r="L245" s="47">
        <v>61</v>
      </c>
      <c r="M245" s="47">
        <v>60.7</v>
      </c>
      <c r="N245" s="47">
        <v>60.05</v>
      </c>
      <c r="O245" s="51"/>
      <c r="P245" s="51"/>
      <c r="Q245" s="51"/>
      <c r="R245" s="21"/>
      <c r="S245" s="21"/>
      <c r="T245" s="21"/>
      <c r="U245" s="21"/>
      <c r="V245" s="21"/>
      <c r="W245" s="21"/>
      <c r="X245" s="21"/>
      <c r="Y245" s="21"/>
    </row>
    <row r="246" spans="1:25" x14ac:dyDescent="0.25">
      <c r="A246" s="43">
        <v>223</v>
      </c>
      <c r="B246" s="40"/>
      <c r="C246" s="53">
        <f t="shared" si="26"/>
        <v>0.3</v>
      </c>
      <c r="D246" s="53">
        <f t="shared" si="27"/>
        <v>9.5000000000000001E-2</v>
      </c>
      <c r="E246" s="54">
        <f t="shared" si="28"/>
        <v>0.20499999999999999</v>
      </c>
      <c r="F246" s="46">
        <v>20</v>
      </c>
      <c r="G246" s="47">
        <v>61.3</v>
      </c>
      <c r="H246" s="47">
        <v>29.4</v>
      </c>
      <c r="I246" s="47">
        <v>61.2</v>
      </c>
      <c r="J246" s="47">
        <v>61</v>
      </c>
      <c r="K246" s="47">
        <v>57</v>
      </c>
      <c r="L246" s="47">
        <v>61</v>
      </c>
      <c r="M246" s="47">
        <v>60.7</v>
      </c>
      <c r="N246" s="47">
        <v>60.150000000000006</v>
      </c>
      <c r="O246" s="51"/>
      <c r="P246" s="51"/>
      <c r="Q246" s="51"/>
      <c r="R246" s="21"/>
      <c r="S246" s="21"/>
      <c r="T246" s="21"/>
      <c r="U246" s="21"/>
      <c r="V246" s="21"/>
      <c r="W246" s="21"/>
      <c r="X246" s="21"/>
      <c r="Y246" s="21"/>
    </row>
    <row r="247" spans="1:25" x14ac:dyDescent="0.25">
      <c r="A247" s="43">
        <v>224</v>
      </c>
      <c r="B247" s="40"/>
      <c r="C247" s="53">
        <f t="shared" si="26"/>
        <v>0.3</v>
      </c>
      <c r="D247" s="53">
        <f t="shared" si="27"/>
        <v>9.5000000000000001E-2</v>
      </c>
      <c r="E247" s="54">
        <f t="shared" si="28"/>
        <v>0.20499999999999999</v>
      </c>
      <c r="F247" s="46">
        <v>20</v>
      </c>
      <c r="G247" s="47">
        <v>61.3</v>
      </c>
      <c r="H247" s="47">
        <v>29.4</v>
      </c>
      <c r="I247" s="47">
        <v>61.2</v>
      </c>
      <c r="J247" s="47">
        <v>61</v>
      </c>
      <c r="K247" s="47">
        <v>57.2</v>
      </c>
      <c r="L247" s="47">
        <v>61</v>
      </c>
      <c r="M247" s="47">
        <v>60.7</v>
      </c>
      <c r="N247" s="47">
        <v>60.25</v>
      </c>
      <c r="O247" s="51"/>
      <c r="P247" s="51"/>
      <c r="Q247" s="51"/>
      <c r="R247" s="21"/>
      <c r="S247" s="21"/>
      <c r="T247" s="21"/>
      <c r="U247" s="21"/>
      <c r="V247" s="21"/>
      <c r="W247" s="21"/>
      <c r="X247" s="21"/>
      <c r="Y247" s="21"/>
    </row>
    <row r="248" spans="1:25" x14ac:dyDescent="0.25">
      <c r="A248" s="43">
        <v>225</v>
      </c>
      <c r="B248" s="40"/>
      <c r="C248" s="53">
        <f t="shared" si="26"/>
        <v>0.3</v>
      </c>
      <c r="D248" s="53">
        <f t="shared" si="27"/>
        <v>9.5000000000000001E-2</v>
      </c>
      <c r="E248" s="54">
        <f t="shared" si="28"/>
        <v>0.20499999999999999</v>
      </c>
      <c r="F248" s="46">
        <v>20</v>
      </c>
      <c r="G248" s="47">
        <v>61.400000000000006</v>
      </c>
      <c r="H248" s="47">
        <v>29.3</v>
      </c>
      <c r="I248" s="47">
        <v>61.4</v>
      </c>
      <c r="J248" s="47">
        <v>61</v>
      </c>
      <c r="K248" s="47">
        <v>57.3</v>
      </c>
      <c r="L248" s="47">
        <v>61.2</v>
      </c>
      <c r="M248" s="47">
        <v>60.7</v>
      </c>
      <c r="N248" s="47">
        <v>60.349999999999994</v>
      </c>
      <c r="O248" s="51"/>
      <c r="P248" s="51"/>
      <c r="Q248" s="51"/>
      <c r="R248" s="21"/>
      <c r="S248" s="21"/>
      <c r="T248" s="21"/>
      <c r="U248" s="21"/>
      <c r="V248" s="21"/>
      <c r="W248" s="21"/>
      <c r="X248" s="21"/>
      <c r="Y248" s="21"/>
    </row>
    <row r="249" spans="1:25" x14ac:dyDescent="0.25">
      <c r="A249" s="43">
        <v>226</v>
      </c>
      <c r="B249" s="40"/>
      <c r="C249" s="53">
        <f t="shared" si="26"/>
        <v>0.3</v>
      </c>
      <c r="D249" s="53">
        <f t="shared" si="27"/>
        <v>9.5000000000000001E-2</v>
      </c>
      <c r="E249" s="54">
        <f t="shared" si="28"/>
        <v>0.20499999999999999</v>
      </c>
      <c r="F249" s="46">
        <v>20</v>
      </c>
      <c r="G249" s="47">
        <v>61.2</v>
      </c>
      <c r="H249" s="47">
        <v>29.1</v>
      </c>
      <c r="I249" s="47">
        <v>61.2</v>
      </c>
      <c r="J249" s="47">
        <v>60.9</v>
      </c>
      <c r="K249" s="47">
        <v>57.2</v>
      </c>
      <c r="L249" s="47">
        <v>61</v>
      </c>
      <c r="M249" s="47">
        <v>60.5</v>
      </c>
      <c r="N249" s="47">
        <v>60.25</v>
      </c>
      <c r="O249" s="51"/>
      <c r="P249" s="51"/>
      <c r="Q249" s="51"/>
      <c r="R249" s="21"/>
      <c r="S249" s="21"/>
      <c r="T249" s="21"/>
      <c r="U249" s="21"/>
      <c r="V249" s="21"/>
      <c r="W249" s="21"/>
      <c r="X249" s="21"/>
      <c r="Y249" s="21"/>
    </row>
    <row r="250" spans="1:25" x14ac:dyDescent="0.25">
      <c r="A250" s="43">
        <v>227</v>
      </c>
      <c r="B250" s="40"/>
      <c r="C250" s="53">
        <f t="shared" si="26"/>
        <v>0.3</v>
      </c>
      <c r="D250" s="53">
        <f t="shared" si="27"/>
        <v>9.5000000000000001E-2</v>
      </c>
      <c r="E250" s="54">
        <f t="shared" si="28"/>
        <v>0.20499999999999999</v>
      </c>
      <c r="F250" s="46">
        <v>20</v>
      </c>
      <c r="G250" s="47">
        <v>61.3</v>
      </c>
      <c r="H250" s="47">
        <v>29.200000000000003</v>
      </c>
      <c r="I250" s="47">
        <v>61.2</v>
      </c>
      <c r="J250" s="47">
        <v>60.9</v>
      </c>
      <c r="K250" s="47">
        <v>57.1</v>
      </c>
      <c r="L250" s="47">
        <v>61</v>
      </c>
      <c r="M250" s="47">
        <v>60.5</v>
      </c>
      <c r="N250" s="47">
        <v>60.150000000000006</v>
      </c>
      <c r="O250" s="51"/>
      <c r="P250" s="51"/>
      <c r="Q250" s="51"/>
      <c r="R250" s="21"/>
      <c r="S250" s="21"/>
      <c r="T250" s="21"/>
      <c r="U250" s="21"/>
      <c r="V250" s="21"/>
      <c r="W250" s="21"/>
      <c r="X250" s="21"/>
      <c r="Y250" s="21"/>
    </row>
    <row r="251" spans="1:25" x14ac:dyDescent="0.25">
      <c r="A251" s="43">
        <v>228</v>
      </c>
      <c r="B251" s="40"/>
      <c r="C251" s="53">
        <f t="shared" si="26"/>
        <v>0.3</v>
      </c>
      <c r="D251" s="53">
        <f t="shared" si="27"/>
        <v>9.5000000000000001E-2</v>
      </c>
      <c r="E251" s="54">
        <f t="shared" si="28"/>
        <v>0.20499999999999999</v>
      </c>
      <c r="F251" s="46">
        <v>20</v>
      </c>
      <c r="G251" s="47">
        <v>61.15</v>
      </c>
      <c r="H251" s="47">
        <v>29.200000000000003</v>
      </c>
      <c r="I251" s="47">
        <v>61</v>
      </c>
      <c r="J251" s="47">
        <v>60.9</v>
      </c>
      <c r="K251" s="47">
        <v>57</v>
      </c>
      <c r="L251" s="47">
        <v>61</v>
      </c>
      <c r="M251" s="47">
        <v>60.5</v>
      </c>
      <c r="N251" s="47">
        <v>59.95</v>
      </c>
      <c r="O251" s="51"/>
      <c r="P251" s="51"/>
      <c r="Q251" s="51"/>
      <c r="R251" s="21"/>
      <c r="S251" s="21"/>
      <c r="T251" s="21"/>
      <c r="U251" s="21"/>
      <c r="V251" s="21"/>
      <c r="W251" s="21"/>
      <c r="X251" s="21"/>
      <c r="Y251" s="21"/>
    </row>
    <row r="252" spans="1:25" x14ac:dyDescent="0.25">
      <c r="A252" s="43">
        <v>229</v>
      </c>
      <c r="B252" s="40"/>
      <c r="C252" s="53">
        <f t="shared" si="26"/>
        <v>0.3</v>
      </c>
      <c r="D252" s="53">
        <f t="shared" si="27"/>
        <v>9.5000000000000001E-2</v>
      </c>
      <c r="E252" s="54">
        <f t="shared" si="28"/>
        <v>0.20499999999999999</v>
      </c>
      <c r="F252" s="46">
        <v>20</v>
      </c>
      <c r="G252" s="47">
        <v>61.2</v>
      </c>
      <c r="H252" s="47">
        <v>29.4</v>
      </c>
      <c r="I252" s="47">
        <v>61</v>
      </c>
      <c r="J252" s="47">
        <v>60.9</v>
      </c>
      <c r="K252" s="47">
        <v>57.1</v>
      </c>
      <c r="L252" s="47">
        <v>60.9</v>
      </c>
      <c r="M252" s="47">
        <v>60.5</v>
      </c>
      <c r="N252" s="47">
        <v>60.05</v>
      </c>
      <c r="O252" s="51"/>
      <c r="P252" s="51"/>
      <c r="Q252" s="51"/>
      <c r="R252" s="21"/>
      <c r="S252" s="21"/>
      <c r="T252" s="21"/>
      <c r="U252" s="21"/>
      <c r="V252" s="21"/>
      <c r="W252" s="21"/>
      <c r="X252" s="21"/>
      <c r="Y252" s="21"/>
    </row>
    <row r="253" spans="1:25" x14ac:dyDescent="0.25">
      <c r="A253" s="43">
        <v>230</v>
      </c>
      <c r="B253" s="40"/>
      <c r="C253" s="53">
        <f t="shared" si="26"/>
        <v>0.3</v>
      </c>
      <c r="D253" s="53">
        <f t="shared" si="27"/>
        <v>9.5000000000000001E-2</v>
      </c>
      <c r="E253" s="54">
        <f t="shared" si="28"/>
        <v>0.20499999999999999</v>
      </c>
      <c r="F253" s="46">
        <v>20</v>
      </c>
      <c r="G253" s="47">
        <v>61.2</v>
      </c>
      <c r="H253" s="47">
        <v>29.45</v>
      </c>
      <c r="I253" s="47">
        <v>61</v>
      </c>
      <c r="J253" s="47">
        <v>60.9</v>
      </c>
      <c r="K253" s="47">
        <v>57</v>
      </c>
      <c r="L253" s="47">
        <v>60.9</v>
      </c>
      <c r="M253" s="47">
        <v>60.5</v>
      </c>
      <c r="N253" s="47">
        <v>60.05</v>
      </c>
      <c r="O253" s="51"/>
      <c r="P253" s="51"/>
      <c r="Q253" s="51"/>
      <c r="R253" s="21"/>
      <c r="S253" s="21"/>
      <c r="T253" s="21"/>
      <c r="U253" s="21"/>
      <c r="V253" s="21"/>
      <c r="W253" s="21"/>
      <c r="X253" s="21"/>
      <c r="Y253" s="21"/>
    </row>
    <row r="254" spans="1:25" x14ac:dyDescent="0.25">
      <c r="A254" s="40"/>
      <c r="B254" s="40"/>
      <c r="C254" s="45"/>
      <c r="D254" s="45"/>
      <c r="E254" s="45"/>
      <c r="F254" s="48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21"/>
      <c r="S254" s="21"/>
      <c r="T254" s="21"/>
      <c r="U254" s="21"/>
      <c r="V254" s="21"/>
      <c r="W254" s="21"/>
      <c r="X254" s="21"/>
      <c r="Y254" s="21"/>
    </row>
    <row r="255" spans="1:25" x14ac:dyDescent="0.25">
      <c r="A255" s="43">
        <v>231</v>
      </c>
      <c r="B255" s="43" t="s">
        <v>70</v>
      </c>
      <c r="C255" s="53">
        <f t="shared" ref="C255:C264" si="29">5/20</f>
        <v>0.25</v>
      </c>
      <c r="D255" s="53">
        <f t="shared" ref="D255:D264" si="30">2.1/20</f>
        <v>0.10500000000000001</v>
      </c>
      <c r="E255" s="54">
        <f t="shared" ref="E255:E264" si="31">C255-D255</f>
        <v>0.14499999999999999</v>
      </c>
      <c r="F255" s="46">
        <v>15</v>
      </c>
      <c r="G255" s="47">
        <v>61.2</v>
      </c>
      <c r="H255" s="47">
        <v>29.6</v>
      </c>
      <c r="I255" s="47">
        <v>60.8</v>
      </c>
      <c r="J255" s="47">
        <v>60.6</v>
      </c>
      <c r="K255" s="47">
        <v>56.599999999999994</v>
      </c>
      <c r="L255" s="47">
        <v>60.5</v>
      </c>
      <c r="M255" s="47">
        <v>60.3</v>
      </c>
      <c r="N255" s="47">
        <v>59.55</v>
      </c>
      <c r="O255" s="51"/>
      <c r="P255" s="51"/>
      <c r="Q255" s="51"/>
      <c r="R255" s="21"/>
      <c r="S255" s="21"/>
      <c r="T255" s="21"/>
      <c r="U255" s="21"/>
      <c r="V255" s="21"/>
      <c r="W255" s="21"/>
      <c r="X255" s="21"/>
      <c r="Y255" s="21"/>
    </row>
    <row r="256" spans="1:25" x14ac:dyDescent="0.25">
      <c r="A256" s="43">
        <v>232</v>
      </c>
      <c r="B256" s="40"/>
      <c r="C256" s="53">
        <f t="shared" si="29"/>
        <v>0.25</v>
      </c>
      <c r="D256" s="53">
        <f t="shared" si="30"/>
        <v>0.10500000000000001</v>
      </c>
      <c r="E256" s="54">
        <f t="shared" si="31"/>
        <v>0.14499999999999999</v>
      </c>
      <c r="F256" s="46">
        <v>15</v>
      </c>
      <c r="G256" s="47">
        <v>61.099999999999994</v>
      </c>
      <c r="H256" s="47">
        <v>29.35</v>
      </c>
      <c r="I256" s="47">
        <v>60.7</v>
      </c>
      <c r="J256" s="47">
        <v>60.6</v>
      </c>
      <c r="K256" s="47">
        <v>56.55</v>
      </c>
      <c r="L256" s="47">
        <v>60.4</v>
      </c>
      <c r="M256" s="47">
        <v>60.2</v>
      </c>
      <c r="N256" s="47">
        <v>59.45</v>
      </c>
      <c r="O256" s="51"/>
      <c r="P256" s="51"/>
      <c r="Q256" s="51"/>
      <c r="R256" s="21"/>
      <c r="S256" s="21"/>
      <c r="T256" s="21"/>
      <c r="U256" s="21"/>
      <c r="V256" s="21"/>
      <c r="W256" s="21"/>
      <c r="X256" s="21"/>
      <c r="Y256" s="21"/>
    </row>
    <row r="257" spans="1:25" x14ac:dyDescent="0.25">
      <c r="A257" s="43">
        <v>233</v>
      </c>
      <c r="B257" s="40"/>
      <c r="C257" s="53">
        <f t="shared" si="29"/>
        <v>0.25</v>
      </c>
      <c r="D257" s="53">
        <f t="shared" si="30"/>
        <v>0.10500000000000001</v>
      </c>
      <c r="E257" s="54">
        <f t="shared" si="31"/>
        <v>0.14499999999999999</v>
      </c>
      <c r="F257" s="46">
        <v>15</v>
      </c>
      <c r="G257" s="47">
        <v>61.099999999999994</v>
      </c>
      <c r="H257" s="47">
        <v>29.45</v>
      </c>
      <c r="I257" s="47">
        <v>60.9</v>
      </c>
      <c r="J257" s="47">
        <v>60.7</v>
      </c>
      <c r="K257" s="47">
        <v>56.55</v>
      </c>
      <c r="L257" s="47">
        <v>60.6</v>
      </c>
      <c r="M257" s="47">
        <v>60.2</v>
      </c>
      <c r="N257" s="47">
        <v>59.55</v>
      </c>
      <c r="O257" s="51"/>
      <c r="P257" s="51"/>
      <c r="Q257" s="51"/>
      <c r="R257" s="21"/>
      <c r="S257" s="21"/>
      <c r="T257" s="21"/>
      <c r="U257" s="21"/>
      <c r="V257" s="21"/>
      <c r="W257" s="21"/>
      <c r="X257" s="21"/>
      <c r="Y257" s="21"/>
    </row>
    <row r="258" spans="1:25" x14ac:dyDescent="0.25">
      <c r="A258" s="43">
        <v>234</v>
      </c>
      <c r="B258" s="40"/>
      <c r="C258" s="53">
        <f t="shared" si="29"/>
        <v>0.25</v>
      </c>
      <c r="D258" s="53">
        <f t="shared" si="30"/>
        <v>0.10500000000000001</v>
      </c>
      <c r="E258" s="54">
        <f t="shared" si="31"/>
        <v>0.14499999999999999</v>
      </c>
      <c r="F258" s="46">
        <v>15</v>
      </c>
      <c r="G258" s="47">
        <v>61.2</v>
      </c>
      <c r="H258" s="47">
        <v>29.700000000000003</v>
      </c>
      <c r="I258" s="47">
        <v>61</v>
      </c>
      <c r="J258" s="47">
        <v>60.8</v>
      </c>
      <c r="K258" s="47">
        <v>56.900000000000006</v>
      </c>
      <c r="L258" s="47">
        <v>60.6</v>
      </c>
      <c r="M258" s="47">
        <v>60.5</v>
      </c>
      <c r="N258" s="47">
        <v>59.75</v>
      </c>
      <c r="O258" s="51"/>
      <c r="P258" s="51"/>
      <c r="Q258" s="51"/>
      <c r="R258" s="21"/>
      <c r="S258" s="21"/>
      <c r="T258" s="21"/>
      <c r="U258" s="21"/>
      <c r="V258" s="21"/>
      <c r="W258" s="21"/>
      <c r="X258" s="21"/>
      <c r="Y258" s="21"/>
    </row>
    <row r="259" spans="1:25" x14ac:dyDescent="0.25">
      <c r="A259" s="43">
        <v>235</v>
      </c>
      <c r="B259" s="40"/>
      <c r="C259" s="53">
        <f t="shared" si="29"/>
        <v>0.25</v>
      </c>
      <c r="D259" s="53">
        <f t="shared" si="30"/>
        <v>0.10500000000000001</v>
      </c>
      <c r="E259" s="54">
        <f t="shared" si="31"/>
        <v>0.14499999999999999</v>
      </c>
      <c r="F259" s="46">
        <v>15</v>
      </c>
      <c r="G259" s="47">
        <v>61.2</v>
      </c>
      <c r="H259" s="47">
        <v>29.700000000000003</v>
      </c>
      <c r="I259" s="47">
        <v>61</v>
      </c>
      <c r="J259" s="47">
        <v>60.8</v>
      </c>
      <c r="K259" s="47">
        <v>56.85</v>
      </c>
      <c r="L259" s="47">
        <v>60.6</v>
      </c>
      <c r="M259" s="47">
        <v>60.5</v>
      </c>
      <c r="N259" s="47">
        <v>59.75</v>
      </c>
      <c r="O259" s="51"/>
      <c r="P259" s="51"/>
      <c r="Q259" s="51"/>
      <c r="R259" s="21"/>
      <c r="S259" s="21"/>
      <c r="T259" s="21"/>
      <c r="U259" s="21"/>
      <c r="V259" s="21"/>
      <c r="W259" s="21"/>
      <c r="X259" s="21"/>
      <c r="Y259" s="21"/>
    </row>
    <row r="260" spans="1:25" x14ac:dyDescent="0.25">
      <c r="A260" s="43">
        <v>236</v>
      </c>
      <c r="B260" s="40"/>
      <c r="C260" s="53">
        <f t="shared" si="29"/>
        <v>0.25</v>
      </c>
      <c r="D260" s="53">
        <f t="shared" si="30"/>
        <v>0.10500000000000001</v>
      </c>
      <c r="E260" s="54">
        <f t="shared" si="31"/>
        <v>0.14499999999999999</v>
      </c>
      <c r="F260" s="46">
        <v>15</v>
      </c>
      <c r="G260" s="47">
        <v>61.3</v>
      </c>
      <c r="H260" s="47">
        <v>29.6</v>
      </c>
      <c r="I260" s="47">
        <v>61</v>
      </c>
      <c r="J260" s="47">
        <v>60.8</v>
      </c>
      <c r="K260" s="47">
        <v>56.7</v>
      </c>
      <c r="L260" s="47">
        <v>60.6</v>
      </c>
      <c r="M260" s="47">
        <v>60.5</v>
      </c>
      <c r="N260" s="47">
        <v>59.75</v>
      </c>
      <c r="O260" s="51"/>
      <c r="P260" s="51"/>
      <c r="Q260" s="51"/>
      <c r="R260" s="21"/>
      <c r="S260" s="21"/>
      <c r="T260" s="21"/>
      <c r="U260" s="21"/>
      <c r="V260" s="21"/>
      <c r="W260" s="21"/>
      <c r="X260" s="21"/>
      <c r="Y260" s="21"/>
    </row>
    <row r="261" spans="1:25" x14ac:dyDescent="0.25">
      <c r="A261" s="43">
        <v>237</v>
      </c>
      <c r="B261" s="40"/>
      <c r="C261" s="53">
        <f t="shared" si="29"/>
        <v>0.25</v>
      </c>
      <c r="D261" s="53">
        <f t="shared" si="30"/>
        <v>0.10500000000000001</v>
      </c>
      <c r="E261" s="54">
        <f t="shared" si="31"/>
        <v>0.14499999999999999</v>
      </c>
      <c r="F261" s="46">
        <v>15</v>
      </c>
      <c r="G261" s="47">
        <v>61.1</v>
      </c>
      <c r="H261" s="47">
        <v>29.6</v>
      </c>
      <c r="I261" s="47">
        <v>61</v>
      </c>
      <c r="J261" s="47">
        <v>60.8</v>
      </c>
      <c r="K261" s="47">
        <v>56.599999999999994</v>
      </c>
      <c r="L261" s="47">
        <v>60.6</v>
      </c>
      <c r="M261" s="47">
        <v>60.5</v>
      </c>
      <c r="N261" s="47">
        <v>59.55</v>
      </c>
      <c r="O261" s="51"/>
      <c r="P261" s="51"/>
      <c r="Q261" s="51"/>
      <c r="R261" s="21"/>
      <c r="S261" s="21"/>
      <c r="T261" s="21"/>
      <c r="U261" s="21"/>
      <c r="V261" s="21"/>
      <c r="W261" s="21"/>
      <c r="X261" s="21"/>
      <c r="Y261" s="21"/>
    </row>
    <row r="262" spans="1:25" x14ac:dyDescent="0.25">
      <c r="A262" s="43">
        <v>238</v>
      </c>
      <c r="B262" s="40"/>
      <c r="C262" s="53">
        <f t="shared" si="29"/>
        <v>0.25</v>
      </c>
      <c r="D262" s="53">
        <f t="shared" si="30"/>
        <v>0.10500000000000001</v>
      </c>
      <c r="E262" s="54">
        <f t="shared" si="31"/>
        <v>0.14499999999999999</v>
      </c>
      <c r="F262" s="46">
        <v>15</v>
      </c>
      <c r="G262" s="47">
        <v>61.2</v>
      </c>
      <c r="H262" s="47">
        <v>29.6</v>
      </c>
      <c r="I262" s="47">
        <v>61</v>
      </c>
      <c r="J262" s="47">
        <v>60.8</v>
      </c>
      <c r="K262" s="47">
        <v>56.7</v>
      </c>
      <c r="L262" s="47">
        <v>60.6</v>
      </c>
      <c r="M262" s="47">
        <v>60.5</v>
      </c>
      <c r="N262" s="47">
        <v>59.55</v>
      </c>
      <c r="O262" s="51"/>
      <c r="P262" s="51"/>
      <c r="Q262" s="51"/>
      <c r="R262" s="21"/>
      <c r="S262" s="21"/>
      <c r="T262" s="21"/>
      <c r="U262" s="21"/>
      <c r="V262" s="21"/>
      <c r="W262" s="21"/>
      <c r="X262" s="21"/>
      <c r="Y262" s="21"/>
    </row>
    <row r="263" spans="1:25" x14ac:dyDescent="0.25">
      <c r="A263" s="43">
        <v>239</v>
      </c>
      <c r="B263" s="40"/>
      <c r="C263" s="53">
        <f t="shared" si="29"/>
        <v>0.25</v>
      </c>
      <c r="D263" s="53">
        <f t="shared" si="30"/>
        <v>0.10500000000000001</v>
      </c>
      <c r="E263" s="54">
        <f t="shared" si="31"/>
        <v>0.14499999999999999</v>
      </c>
      <c r="F263" s="46">
        <v>15</v>
      </c>
      <c r="G263" s="47">
        <v>61.25</v>
      </c>
      <c r="H263" s="47">
        <v>29.7</v>
      </c>
      <c r="I263" s="47">
        <v>61.1</v>
      </c>
      <c r="J263" s="47">
        <v>60.9</v>
      </c>
      <c r="K263" s="47">
        <v>56.8</v>
      </c>
      <c r="L263" s="47">
        <v>60.7</v>
      </c>
      <c r="M263" s="47">
        <v>60.6</v>
      </c>
      <c r="N263" s="47">
        <v>59.75</v>
      </c>
      <c r="O263" s="51"/>
      <c r="P263" s="51"/>
      <c r="Q263" s="51"/>
      <c r="R263" s="21"/>
      <c r="S263" s="21"/>
      <c r="T263" s="21"/>
      <c r="U263" s="21"/>
      <c r="V263" s="21"/>
      <c r="W263" s="21"/>
      <c r="X263" s="21"/>
      <c r="Y263" s="21"/>
    </row>
    <row r="264" spans="1:25" x14ac:dyDescent="0.25">
      <c r="A264" s="43">
        <v>240</v>
      </c>
      <c r="B264" s="40"/>
      <c r="C264" s="53">
        <f t="shared" si="29"/>
        <v>0.25</v>
      </c>
      <c r="D264" s="53">
        <f t="shared" si="30"/>
        <v>0.10500000000000001</v>
      </c>
      <c r="E264" s="54">
        <f t="shared" si="31"/>
        <v>0.14499999999999999</v>
      </c>
      <c r="F264" s="46">
        <v>15</v>
      </c>
      <c r="G264" s="47">
        <v>61.25</v>
      </c>
      <c r="H264" s="47">
        <v>29.5</v>
      </c>
      <c r="I264" s="47">
        <v>61.1</v>
      </c>
      <c r="J264" s="47">
        <v>60.9</v>
      </c>
      <c r="K264" s="47">
        <v>56.8</v>
      </c>
      <c r="L264" s="47">
        <v>60.7</v>
      </c>
      <c r="M264" s="47">
        <v>60.6</v>
      </c>
      <c r="N264" s="47">
        <v>59.75</v>
      </c>
      <c r="O264" s="51"/>
      <c r="P264" s="51"/>
      <c r="Q264" s="51"/>
      <c r="R264" s="21"/>
      <c r="S264" s="21"/>
      <c r="T264" s="21"/>
      <c r="U264" s="21"/>
      <c r="V264" s="21"/>
      <c r="W264" s="21"/>
      <c r="X264" s="21"/>
      <c r="Y264" s="21"/>
    </row>
    <row r="265" spans="1:25" x14ac:dyDescent="0.25">
      <c r="A265" s="40"/>
      <c r="B265" s="40"/>
      <c r="C265" s="45"/>
      <c r="D265" s="45"/>
      <c r="E265" s="45"/>
      <c r="F265" s="48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21"/>
      <c r="S265" s="21"/>
      <c r="T265" s="21"/>
      <c r="U265" s="21"/>
      <c r="V265" s="21"/>
      <c r="W265" s="21"/>
      <c r="X265" s="21"/>
      <c r="Y265" s="21"/>
    </row>
    <row r="266" spans="1:25" x14ac:dyDescent="0.25">
      <c r="A266" s="43">
        <v>241</v>
      </c>
      <c r="B266" s="43" t="s">
        <v>71</v>
      </c>
      <c r="C266" s="53">
        <f t="shared" ref="C266:C275" si="32">3/20</f>
        <v>0.15</v>
      </c>
      <c r="D266" s="53">
        <f t="shared" ref="D266:D275" si="33">2/20</f>
        <v>0.1</v>
      </c>
      <c r="E266" s="54">
        <f t="shared" ref="E266:E275" si="34">C266-D265</f>
        <v>0.15</v>
      </c>
      <c r="F266" s="46">
        <v>10</v>
      </c>
      <c r="G266" s="47">
        <v>60.4</v>
      </c>
      <c r="H266" s="47">
        <v>27.6</v>
      </c>
      <c r="I266" s="47">
        <v>60.3</v>
      </c>
      <c r="J266" s="47">
        <v>60.1</v>
      </c>
      <c r="K266" s="47">
        <v>56.5</v>
      </c>
      <c r="L266" s="47">
        <v>59.9</v>
      </c>
      <c r="M266" s="47">
        <v>59.8</v>
      </c>
      <c r="N266" s="47">
        <v>59.4</v>
      </c>
      <c r="O266" s="51"/>
      <c r="P266" s="51"/>
      <c r="Q266" s="51"/>
      <c r="R266" s="21"/>
      <c r="S266" s="21"/>
      <c r="T266" s="21"/>
      <c r="U266" s="21"/>
      <c r="V266" s="21"/>
      <c r="W266" s="21"/>
      <c r="X266" s="21"/>
      <c r="Y266" s="21"/>
    </row>
    <row r="267" spans="1:25" x14ac:dyDescent="0.25">
      <c r="A267" s="43">
        <v>242</v>
      </c>
      <c r="B267" s="40"/>
      <c r="C267" s="53">
        <f t="shared" si="32"/>
        <v>0.15</v>
      </c>
      <c r="D267" s="53">
        <f t="shared" si="33"/>
        <v>0.1</v>
      </c>
      <c r="E267" s="54">
        <f t="shared" si="34"/>
        <v>4.9999999999999989E-2</v>
      </c>
      <c r="F267" s="46">
        <v>10</v>
      </c>
      <c r="G267" s="47">
        <v>60.3</v>
      </c>
      <c r="H267" s="47">
        <v>27.6</v>
      </c>
      <c r="I267" s="47">
        <v>60.3</v>
      </c>
      <c r="J267" s="47">
        <v>60.1</v>
      </c>
      <c r="K267" s="47">
        <v>56.4</v>
      </c>
      <c r="L267" s="47">
        <v>59.9</v>
      </c>
      <c r="M267" s="47">
        <v>59.8</v>
      </c>
      <c r="N267" s="47">
        <v>59.349999999999994</v>
      </c>
      <c r="O267" s="51"/>
      <c r="P267" s="51"/>
      <c r="Q267" s="51"/>
      <c r="R267" s="21"/>
      <c r="S267" s="21"/>
      <c r="T267" s="21"/>
      <c r="U267" s="21"/>
      <c r="V267" s="21"/>
      <c r="W267" s="21"/>
      <c r="X267" s="21"/>
      <c r="Y267" s="21"/>
    </row>
    <row r="268" spans="1:25" x14ac:dyDescent="0.25">
      <c r="A268" s="43">
        <v>243</v>
      </c>
      <c r="B268" s="40"/>
      <c r="C268" s="53">
        <f t="shared" si="32"/>
        <v>0.15</v>
      </c>
      <c r="D268" s="53">
        <f t="shared" si="33"/>
        <v>0.1</v>
      </c>
      <c r="E268" s="54">
        <f t="shared" si="34"/>
        <v>4.9999999999999989E-2</v>
      </c>
      <c r="F268" s="46">
        <v>10</v>
      </c>
      <c r="G268" s="47">
        <v>60.5</v>
      </c>
      <c r="H268" s="47">
        <v>27.799999999999997</v>
      </c>
      <c r="I268" s="47">
        <v>60.4</v>
      </c>
      <c r="J268" s="47">
        <v>60.2</v>
      </c>
      <c r="K268" s="47">
        <v>56.55</v>
      </c>
      <c r="L268" s="47">
        <v>60</v>
      </c>
      <c r="M268" s="47">
        <v>59.8</v>
      </c>
      <c r="N268" s="47">
        <v>59.4</v>
      </c>
      <c r="O268" s="51"/>
      <c r="P268" s="51"/>
      <c r="Q268" s="51"/>
      <c r="R268" s="21"/>
      <c r="S268" s="21"/>
      <c r="T268" s="21"/>
      <c r="U268" s="21"/>
      <c r="V268" s="21"/>
      <c r="W268" s="21"/>
      <c r="X268" s="21"/>
      <c r="Y268" s="21"/>
    </row>
    <row r="269" spans="1:25" x14ac:dyDescent="0.25">
      <c r="A269" s="43">
        <v>244</v>
      </c>
      <c r="B269" s="40"/>
      <c r="C269" s="53">
        <f t="shared" si="32"/>
        <v>0.15</v>
      </c>
      <c r="D269" s="53">
        <f t="shared" si="33"/>
        <v>0.1</v>
      </c>
      <c r="E269" s="54">
        <f t="shared" si="34"/>
        <v>4.9999999999999989E-2</v>
      </c>
      <c r="F269" s="46">
        <v>10</v>
      </c>
      <c r="G269" s="47">
        <v>60.6</v>
      </c>
      <c r="H269" s="47">
        <v>27.8</v>
      </c>
      <c r="I269" s="47">
        <v>60.5</v>
      </c>
      <c r="J269" s="47">
        <v>60.3</v>
      </c>
      <c r="K269" s="47">
        <v>56.650000000000006</v>
      </c>
      <c r="L269" s="47">
        <v>60.1</v>
      </c>
      <c r="M269" s="47">
        <v>59.9</v>
      </c>
      <c r="N269" s="47">
        <v>59.45</v>
      </c>
      <c r="O269" s="51"/>
      <c r="P269" s="51"/>
      <c r="Q269" s="51"/>
      <c r="R269" s="21"/>
      <c r="S269" s="21"/>
      <c r="T269" s="21"/>
      <c r="U269" s="21"/>
      <c r="V269" s="21"/>
      <c r="W269" s="21"/>
      <c r="X269" s="21"/>
      <c r="Y269" s="21"/>
    </row>
    <row r="270" spans="1:25" x14ac:dyDescent="0.25">
      <c r="A270" s="43">
        <v>245</v>
      </c>
      <c r="B270" s="40"/>
      <c r="C270" s="53">
        <f t="shared" si="32"/>
        <v>0.15</v>
      </c>
      <c r="D270" s="53">
        <f t="shared" si="33"/>
        <v>0.1</v>
      </c>
      <c r="E270" s="54">
        <f t="shared" si="34"/>
        <v>4.9999999999999989E-2</v>
      </c>
      <c r="F270" s="46">
        <v>10</v>
      </c>
      <c r="G270" s="47">
        <v>60.5</v>
      </c>
      <c r="H270" s="47">
        <v>27.7</v>
      </c>
      <c r="I270" s="47">
        <v>60.5</v>
      </c>
      <c r="J270" s="47">
        <v>60.3</v>
      </c>
      <c r="K270" s="47">
        <v>56.3</v>
      </c>
      <c r="L270" s="47">
        <v>60.1</v>
      </c>
      <c r="M270" s="47">
        <v>59.9</v>
      </c>
      <c r="N270" s="47">
        <v>59.4</v>
      </c>
      <c r="O270" s="51"/>
      <c r="P270" s="51"/>
      <c r="Q270" s="51"/>
      <c r="R270" s="21"/>
      <c r="S270" s="21"/>
      <c r="T270" s="21"/>
      <c r="U270" s="21"/>
      <c r="V270" s="21"/>
      <c r="W270" s="21"/>
      <c r="X270" s="21"/>
      <c r="Y270" s="21"/>
    </row>
    <row r="271" spans="1:25" x14ac:dyDescent="0.25">
      <c r="A271" s="43">
        <v>246</v>
      </c>
      <c r="B271" s="40"/>
      <c r="C271" s="53">
        <f t="shared" si="32"/>
        <v>0.15</v>
      </c>
      <c r="D271" s="53">
        <f t="shared" si="33"/>
        <v>0.1</v>
      </c>
      <c r="E271" s="54">
        <f t="shared" si="34"/>
        <v>4.9999999999999989E-2</v>
      </c>
      <c r="F271" s="46">
        <v>10</v>
      </c>
      <c r="G271" s="47">
        <v>60.5</v>
      </c>
      <c r="H271" s="47">
        <v>27.8</v>
      </c>
      <c r="I271" s="47">
        <v>60.4</v>
      </c>
      <c r="J271" s="47">
        <v>60.2</v>
      </c>
      <c r="K271" s="47">
        <v>56.45</v>
      </c>
      <c r="L271" s="47">
        <v>60.2</v>
      </c>
      <c r="M271" s="47">
        <v>60</v>
      </c>
      <c r="N271" s="47">
        <v>59.35</v>
      </c>
      <c r="O271" s="51"/>
      <c r="P271" s="51"/>
      <c r="Q271" s="51"/>
      <c r="R271" s="21"/>
      <c r="S271" s="21"/>
      <c r="T271" s="21"/>
      <c r="U271" s="21"/>
      <c r="V271" s="21"/>
      <c r="W271" s="21"/>
      <c r="X271" s="21"/>
      <c r="Y271" s="21"/>
    </row>
    <row r="272" spans="1:25" x14ac:dyDescent="0.25">
      <c r="A272" s="43">
        <v>247</v>
      </c>
      <c r="B272" s="40"/>
      <c r="C272" s="53">
        <f t="shared" si="32"/>
        <v>0.15</v>
      </c>
      <c r="D272" s="53">
        <f t="shared" si="33"/>
        <v>0.1</v>
      </c>
      <c r="E272" s="54">
        <f t="shared" si="34"/>
        <v>4.9999999999999989E-2</v>
      </c>
      <c r="F272" s="46">
        <v>10</v>
      </c>
      <c r="G272" s="47">
        <v>60.6</v>
      </c>
      <c r="H272" s="47">
        <v>27.9</v>
      </c>
      <c r="I272" s="47">
        <v>60.4</v>
      </c>
      <c r="J272" s="47">
        <v>60.2</v>
      </c>
      <c r="K272" s="47">
        <v>56.55</v>
      </c>
      <c r="L272" s="47">
        <v>60.2</v>
      </c>
      <c r="M272" s="47">
        <v>60</v>
      </c>
      <c r="N272" s="47">
        <v>59.4</v>
      </c>
      <c r="O272" s="51"/>
      <c r="P272" s="51"/>
      <c r="Q272" s="51"/>
      <c r="R272" s="21"/>
      <c r="S272" s="21"/>
      <c r="T272" s="21"/>
      <c r="U272" s="21"/>
      <c r="V272" s="21"/>
      <c r="W272" s="21"/>
      <c r="X272" s="21"/>
      <c r="Y272" s="21"/>
    </row>
    <row r="273" spans="1:25" x14ac:dyDescent="0.25">
      <c r="A273" s="43">
        <v>248</v>
      </c>
      <c r="B273" s="40"/>
      <c r="C273" s="53">
        <f t="shared" si="32"/>
        <v>0.15</v>
      </c>
      <c r="D273" s="53">
        <f t="shared" si="33"/>
        <v>0.1</v>
      </c>
      <c r="E273" s="54">
        <f t="shared" si="34"/>
        <v>4.9999999999999989E-2</v>
      </c>
      <c r="F273" s="46">
        <v>10</v>
      </c>
      <c r="G273" s="47">
        <v>60.7</v>
      </c>
      <c r="H273" s="47">
        <v>27.95</v>
      </c>
      <c r="I273" s="47">
        <v>60.5</v>
      </c>
      <c r="J273" s="47">
        <v>60.3</v>
      </c>
      <c r="K273" s="47">
        <v>56.65</v>
      </c>
      <c r="L273" s="47">
        <v>60.3</v>
      </c>
      <c r="M273" s="47">
        <v>60.1</v>
      </c>
      <c r="N273" s="47">
        <v>59.65</v>
      </c>
      <c r="O273" s="51"/>
      <c r="P273" s="51"/>
      <c r="Q273" s="51"/>
      <c r="R273" s="21"/>
      <c r="S273" s="21"/>
      <c r="T273" s="21"/>
      <c r="U273" s="21"/>
      <c r="V273" s="21"/>
      <c r="W273" s="21"/>
      <c r="X273" s="21"/>
      <c r="Y273" s="21"/>
    </row>
    <row r="274" spans="1:25" x14ac:dyDescent="0.25">
      <c r="A274" s="43">
        <v>249</v>
      </c>
      <c r="B274" s="40"/>
      <c r="C274" s="53">
        <f t="shared" si="32"/>
        <v>0.15</v>
      </c>
      <c r="D274" s="53">
        <f t="shared" si="33"/>
        <v>0.1</v>
      </c>
      <c r="E274" s="54">
        <f t="shared" si="34"/>
        <v>4.9999999999999989E-2</v>
      </c>
      <c r="F274" s="46">
        <v>10</v>
      </c>
      <c r="G274" s="47">
        <v>60.55</v>
      </c>
      <c r="H274" s="47">
        <v>27.85</v>
      </c>
      <c r="I274" s="47">
        <v>60.5</v>
      </c>
      <c r="J274" s="47">
        <v>60.3</v>
      </c>
      <c r="K274" s="47">
        <v>56.6</v>
      </c>
      <c r="L274" s="47">
        <v>60.3</v>
      </c>
      <c r="M274" s="47">
        <v>60.1</v>
      </c>
      <c r="N274" s="47">
        <v>59.65</v>
      </c>
      <c r="O274" s="51"/>
      <c r="P274" s="51"/>
      <c r="Q274" s="51"/>
      <c r="R274" s="21"/>
      <c r="S274" s="21"/>
      <c r="T274" s="21"/>
      <c r="U274" s="21"/>
      <c r="V274" s="21"/>
      <c r="W274" s="21"/>
      <c r="X274" s="21"/>
      <c r="Y274" s="21"/>
    </row>
    <row r="275" spans="1:25" x14ac:dyDescent="0.25">
      <c r="A275" s="43">
        <v>250</v>
      </c>
      <c r="B275" s="40"/>
      <c r="C275" s="53">
        <f t="shared" si="32"/>
        <v>0.15</v>
      </c>
      <c r="D275" s="53">
        <f t="shared" si="33"/>
        <v>0.1</v>
      </c>
      <c r="E275" s="54">
        <f t="shared" si="34"/>
        <v>4.9999999999999989E-2</v>
      </c>
      <c r="F275" s="46">
        <v>10</v>
      </c>
      <c r="G275" s="47">
        <v>60.7</v>
      </c>
      <c r="H275" s="47">
        <v>27.950000000000003</v>
      </c>
      <c r="I275" s="47">
        <v>60.6</v>
      </c>
      <c r="J275" s="47">
        <v>60.4</v>
      </c>
      <c r="K275" s="47">
        <v>56.6</v>
      </c>
      <c r="L275" s="47">
        <v>60.4</v>
      </c>
      <c r="M275" s="47">
        <v>60.1</v>
      </c>
      <c r="N275" s="47">
        <v>59.7</v>
      </c>
      <c r="O275" s="51"/>
      <c r="P275" s="51"/>
      <c r="Q275" s="51"/>
      <c r="R275" s="21"/>
      <c r="S275" s="21"/>
      <c r="T275" s="21"/>
      <c r="U275" s="21"/>
      <c r="V275" s="21"/>
      <c r="W275" s="21"/>
      <c r="X275" s="21"/>
      <c r="Y275" s="21"/>
    </row>
    <row r="276" spans="1:25" x14ac:dyDescent="0.25">
      <c r="A276" s="40"/>
      <c r="B276" s="40"/>
      <c r="C276" s="45"/>
      <c r="D276" s="45"/>
      <c r="E276" s="45"/>
      <c r="F276" s="48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21"/>
      <c r="S276" s="21"/>
      <c r="T276" s="21"/>
      <c r="U276" s="21"/>
      <c r="V276" s="21"/>
      <c r="W276" s="21"/>
      <c r="X276" s="21"/>
      <c r="Y276" s="21"/>
    </row>
    <row r="277" spans="1:25" x14ac:dyDescent="0.25">
      <c r="A277" s="43">
        <v>251</v>
      </c>
      <c r="B277" s="43" t="s">
        <v>72</v>
      </c>
      <c r="C277" s="44">
        <v>0.1</v>
      </c>
      <c r="D277" s="44">
        <v>6.9999999999999993E-2</v>
      </c>
      <c r="E277" s="45">
        <f t="shared" ref="E277:E286" si="35">C277-D277</f>
        <v>3.0000000000000013E-2</v>
      </c>
      <c r="F277" s="46">
        <v>5</v>
      </c>
      <c r="G277" s="47">
        <v>62.1</v>
      </c>
      <c r="H277" s="47">
        <v>29.35</v>
      </c>
      <c r="I277" s="47">
        <v>60.4</v>
      </c>
      <c r="J277" s="47">
        <v>60.2</v>
      </c>
      <c r="K277" s="47">
        <v>56.9</v>
      </c>
      <c r="L277" s="47">
        <v>60</v>
      </c>
      <c r="M277" s="47">
        <v>60</v>
      </c>
      <c r="N277" s="47">
        <v>59.849999999999994</v>
      </c>
      <c r="O277" s="51"/>
      <c r="P277" s="51"/>
      <c r="Q277" s="51"/>
      <c r="R277" s="21"/>
      <c r="S277" s="21"/>
      <c r="T277" s="21"/>
      <c r="U277" s="21"/>
      <c r="V277" s="21"/>
      <c r="W277" s="21"/>
      <c r="X277" s="21"/>
      <c r="Y277" s="21"/>
    </row>
    <row r="278" spans="1:25" x14ac:dyDescent="0.25">
      <c r="A278" s="43">
        <v>252</v>
      </c>
      <c r="B278" s="40"/>
      <c r="C278" s="44">
        <v>0.1</v>
      </c>
      <c r="D278" s="44">
        <v>6.9999999999999993E-2</v>
      </c>
      <c r="E278" s="45">
        <f t="shared" si="35"/>
        <v>3.0000000000000013E-2</v>
      </c>
      <c r="F278" s="46">
        <v>5</v>
      </c>
      <c r="G278" s="47">
        <v>62</v>
      </c>
      <c r="H278" s="47">
        <v>29.25</v>
      </c>
      <c r="I278" s="47">
        <v>60.4</v>
      </c>
      <c r="J278" s="47">
        <v>60.2</v>
      </c>
      <c r="K278" s="47">
        <v>57</v>
      </c>
      <c r="L278" s="47">
        <v>60</v>
      </c>
      <c r="M278" s="47">
        <v>60</v>
      </c>
      <c r="N278" s="47">
        <v>59.95</v>
      </c>
      <c r="O278" s="51"/>
      <c r="P278" s="51"/>
      <c r="Q278" s="51"/>
      <c r="R278" s="21"/>
      <c r="S278" s="21"/>
      <c r="T278" s="21"/>
      <c r="U278" s="21"/>
      <c r="V278" s="21"/>
      <c r="W278" s="21"/>
      <c r="X278" s="21"/>
      <c r="Y278" s="21"/>
    </row>
    <row r="279" spans="1:25" x14ac:dyDescent="0.25">
      <c r="A279" s="43">
        <v>253</v>
      </c>
      <c r="B279" s="40"/>
      <c r="C279" s="44">
        <v>0.1</v>
      </c>
      <c r="D279" s="44">
        <v>6.9999999999999993E-2</v>
      </c>
      <c r="E279" s="45">
        <f t="shared" si="35"/>
        <v>3.0000000000000013E-2</v>
      </c>
      <c r="F279" s="46">
        <v>5</v>
      </c>
      <c r="G279" s="47">
        <v>61.9</v>
      </c>
      <c r="H279" s="47">
        <v>29.25</v>
      </c>
      <c r="I279" s="47">
        <v>60.4</v>
      </c>
      <c r="J279" s="47">
        <v>60.2</v>
      </c>
      <c r="K279" s="47">
        <v>56.900000000000006</v>
      </c>
      <c r="L279" s="47">
        <v>60</v>
      </c>
      <c r="M279" s="47">
        <v>60</v>
      </c>
      <c r="N279" s="47">
        <v>59.9</v>
      </c>
      <c r="O279" s="51"/>
      <c r="P279" s="51"/>
      <c r="Q279" s="51"/>
      <c r="R279" s="21"/>
      <c r="S279" s="21"/>
      <c r="T279" s="21"/>
      <c r="U279" s="21"/>
      <c r="V279" s="21"/>
      <c r="W279" s="21"/>
      <c r="X279" s="21"/>
      <c r="Y279" s="21"/>
    </row>
    <row r="280" spans="1:25" x14ac:dyDescent="0.25">
      <c r="A280" s="43">
        <v>254</v>
      </c>
      <c r="B280" s="40"/>
      <c r="C280" s="44">
        <v>0.1</v>
      </c>
      <c r="D280" s="44">
        <v>6.9999999999999993E-2</v>
      </c>
      <c r="E280" s="45">
        <f t="shared" si="35"/>
        <v>3.0000000000000013E-2</v>
      </c>
      <c r="F280" s="46">
        <v>5</v>
      </c>
      <c r="G280" s="47">
        <v>62.1</v>
      </c>
      <c r="H280" s="47">
        <v>29.25</v>
      </c>
      <c r="I280" s="47">
        <v>60.4</v>
      </c>
      <c r="J280" s="47">
        <v>60.2</v>
      </c>
      <c r="K280" s="47">
        <v>56.900000000000006</v>
      </c>
      <c r="L280" s="47">
        <v>60</v>
      </c>
      <c r="M280" s="47">
        <v>60</v>
      </c>
      <c r="N280" s="47">
        <v>59.849999999999994</v>
      </c>
      <c r="O280" s="51"/>
      <c r="P280" s="51"/>
      <c r="Q280" s="51"/>
      <c r="R280" s="21"/>
      <c r="S280" s="21"/>
      <c r="T280" s="21"/>
      <c r="U280" s="21"/>
      <c r="V280" s="21"/>
      <c r="W280" s="21"/>
      <c r="X280" s="21"/>
      <c r="Y280" s="21"/>
    </row>
    <row r="281" spans="1:25" x14ac:dyDescent="0.25">
      <c r="A281" s="43">
        <v>255</v>
      </c>
      <c r="B281" s="40"/>
      <c r="C281" s="44">
        <v>0.1</v>
      </c>
      <c r="D281" s="44">
        <v>6.9999999999999993E-2</v>
      </c>
      <c r="E281" s="45">
        <f t="shared" si="35"/>
        <v>3.0000000000000013E-2</v>
      </c>
      <c r="F281" s="46">
        <v>5</v>
      </c>
      <c r="G281" s="47">
        <v>61.9</v>
      </c>
      <c r="H281" s="47">
        <v>29.25</v>
      </c>
      <c r="I281" s="47">
        <v>60.4</v>
      </c>
      <c r="J281" s="47">
        <v>60.2</v>
      </c>
      <c r="K281" s="47">
        <v>56.8</v>
      </c>
      <c r="L281" s="47">
        <v>60</v>
      </c>
      <c r="M281" s="47">
        <v>59.8</v>
      </c>
      <c r="N281" s="47">
        <v>59.849999999999994</v>
      </c>
      <c r="O281" s="51"/>
      <c r="P281" s="51"/>
      <c r="Q281" s="51"/>
      <c r="R281" s="21"/>
      <c r="S281" s="21"/>
      <c r="T281" s="21"/>
      <c r="U281" s="21"/>
      <c r="V281" s="21"/>
      <c r="W281" s="21"/>
      <c r="X281" s="21"/>
      <c r="Y281" s="21"/>
    </row>
    <row r="282" spans="1:25" x14ac:dyDescent="0.25">
      <c r="A282" s="43">
        <v>256</v>
      </c>
      <c r="B282" s="40"/>
      <c r="C282" s="44">
        <v>0.1</v>
      </c>
      <c r="D282" s="44">
        <v>6.9999999999999993E-2</v>
      </c>
      <c r="E282" s="45">
        <f t="shared" si="35"/>
        <v>3.0000000000000013E-2</v>
      </c>
      <c r="F282" s="46">
        <v>5</v>
      </c>
      <c r="G282" s="47">
        <v>61.9</v>
      </c>
      <c r="H282" s="47">
        <v>29.35</v>
      </c>
      <c r="I282" s="47">
        <v>60.2</v>
      </c>
      <c r="J282" s="47">
        <v>60.2</v>
      </c>
      <c r="K282" s="47">
        <v>56.75</v>
      </c>
      <c r="L282" s="47">
        <v>60</v>
      </c>
      <c r="M282" s="47">
        <v>59.8</v>
      </c>
      <c r="N282" s="47">
        <v>59.650000000000006</v>
      </c>
      <c r="O282" s="51"/>
      <c r="P282" s="51"/>
      <c r="Q282" s="51"/>
      <c r="R282" s="21"/>
      <c r="S282" s="21"/>
      <c r="T282" s="21"/>
      <c r="U282" s="21"/>
      <c r="V282" s="21"/>
      <c r="W282" s="21"/>
      <c r="X282" s="21"/>
      <c r="Y282" s="21"/>
    </row>
    <row r="283" spans="1:25" x14ac:dyDescent="0.25">
      <c r="A283" s="43">
        <v>257</v>
      </c>
      <c r="B283" s="40"/>
      <c r="C283" s="44">
        <v>0.1</v>
      </c>
      <c r="D283" s="44">
        <v>6.9999999999999993E-2</v>
      </c>
      <c r="E283" s="45">
        <f t="shared" si="35"/>
        <v>3.0000000000000013E-2</v>
      </c>
      <c r="F283" s="46">
        <v>5</v>
      </c>
      <c r="G283" s="47">
        <v>62.1</v>
      </c>
      <c r="H283" s="47">
        <v>29.35</v>
      </c>
      <c r="I283" s="47">
        <v>60.2</v>
      </c>
      <c r="J283" s="47">
        <v>60.2</v>
      </c>
      <c r="K283" s="47">
        <v>56.650000000000006</v>
      </c>
      <c r="L283" s="47">
        <v>60</v>
      </c>
      <c r="M283" s="47">
        <v>59.8</v>
      </c>
      <c r="N283" s="47">
        <v>59.650000000000006</v>
      </c>
      <c r="O283" s="51"/>
      <c r="P283" s="51"/>
      <c r="Q283" s="51"/>
      <c r="R283" s="21"/>
      <c r="S283" s="21"/>
      <c r="T283" s="21"/>
      <c r="U283" s="21"/>
      <c r="V283" s="21"/>
      <c r="W283" s="21"/>
      <c r="X283" s="21"/>
      <c r="Y283" s="21"/>
    </row>
    <row r="284" spans="1:25" x14ac:dyDescent="0.25">
      <c r="A284" s="43">
        <v>258</v>
      </c>
      <c r="B284" s="40"/>
      <c r="C284" s="44">
        <v>0.1</v>
      </c>
      <c r="D284" s="44">
        <v>6.9999999999999993E-2</v>
      </c>
      <c r="E284" s="45">
        <f t="shared" si="35"/>
        <v>3.0000000000000013E-2</v>
      </c>
      <c r="F284" s="46">
        <v>5</v>
      </c>
      <c r="G284" s="47">
        <v>62.5</v>
      </c>
      <c r="H284" s="47">
        <v>29.35</v>
      </c>
      <c r="I284" s="47">
        <v>60.2</v>
      </c>
      <c r="J284" s="47">
        <v>60.2</v>
      </c>
      <c r="K284" s="47">
        <v>56.75</v>
      </c>
      <c r="L284" s="47">
        <v>60</v>
      </c>
      <c r="M284" s="47">
        <v>59.8</v>
      </c>
      <c r="N284" s="47">
        <v>59.75</v>
      </c>
      <c r="O284" s="51"/>
      <c r="P284" s="51"/>
      <c r="Q284" s="51"/>
      <c r="R284" s="21"/>
      <c r="S284" s="21"/>
      <c r="T284" s="21"/>
      <c r="U284" s="21"/>
      <c r="V284" s="21"/>
      <c r="W284" s="21"/>
      <c r="X284" s="21"/>
      <c r="Y284" s="21"/>
    </row>
    <row r="285" spans="1:25" x14ac:dyDescent="0.25">
      <c r="A285" s="43">
        <v>259</v>
      </c>
      <c r="B285" s="40"/>
      <c r="C285" s="44">
        <v>0.1</v>
      </c>
      <c r="D285" s="44">
        <v>6.9999999999999993E-2</v>
      </c>
      <c r="E285" s="45">
        <f t="shared" si="35"/>
        <v>3.0000000000000013E-2</v>
      </c>
      <c r="F285" s="46">
        <v>5</v>
      </c>
      <c r="G285" s="47">
        <v>62.1</v>
      </c>
      <c r="H285" s="47">
        <v>29.35</v>
      </c>
      <c r="I285" s="47">
        <v>60.4</v>
      </c>
      <c r="J285" s="47">
        <v>60.2</v>
      </c>
      <c r="K285" s="47">
        <v>56.650000000000006</v>
      </c>
      <c r="L285" s="47">
        <v>60</v>
      </c>
      <c r="M285" s="47">
        <v>60</v>
      </c>
      <c r="N285" s="47">
        <v>59.650000000000006</v>
      </c>
      <c r="O285" s="51"/>
      <c r="P285" s="51"/>
      <c r="Q285" s="51"/>
      <c r="R285" s="21"/>
      <c r="S285" s="21"/>
      <c r="T285" s="21"/>
      <c r="U285" s="21"/>
      <c r="V285" s="21"/>
      <c r="W285" s="21"/>
      <c r="X285" s="21"/>
      <c r="Y285" s="21"/>
    </row>
    <row r="286" spans="1:25" x14ac:dyDescent="0.25">
      <c r="A286" s="43">
        <v>260</v>
      </c>
      <c r="B286" s="40"/>
      <c r="C286" s="44">
        <v>0.1</v>
      </c>
      <c r="D286" s="44">
        <v>7.0000000000000007E-2</v>
      </c>
      <c r="E286" s="45">
        <f t="shared" si="35"/>
        <v>0.03</v>
      </c>
      <c r="F286" s="46">
        <v>5</v>
      </c>
      <c r="G286" s="47">
        <v>62.150000000000006</v>
      </c>
      <c r="H286" s="47">
        <v>29.45</v>
      </c>
      <c r="I286" s="47">
        <v>60.3</v>
      </c>
      <c r="J286" s="47">
        <v>60.1</v>
      </c>
      <c r="K286" s="47">
        <v>56.65</v>
      </c>
      <c r="L286" s="47">
        <v>59.9</v>
      </c>
      <c r="M286" s="47">
        <v>59.9</v>
      </c>
      <c r="N286" s="47">
        <v>59.65</v>
      </c>
      <c r="O286" s="51"/>
      <c r="P286" s="51"/>
      <c r="Q286" s="51"/>
      <c r="R286" s="21"/>
      <c r="S286" s="21"/>
      <c r="T286" s="21"/>
      <c r="U286" s="21"/>
      <c r="V286" s="21"/>
      <c r="W286" s="21"/>
      <c r="X286" s="21"/>
      <c r="Y286" s="21"/>
    </row>
    <row r="287" spans="1:25" x14ac:dyDescent="0.25">
      <c r="A287" s="40"/>
      <c r="B287" s="40"/>
      <c r="C287" s="45"/>
      <c r="D287" s="45"/>
      <c r="E287" s="45"/>
      <c r="F287" s="48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21"/>
      <c r="S287" s="21"/>
      <c r="T287" s="21"/>
      <c r="U287" s="21"/>
      <c r="V287" s="21"/>
      <c r="W287" s="21"/>
      <c r="X287" s="21"/>
      <c r="Y287" s="21"/>
    </row>
    <row r="288" spans="1:25" x14ac:dyDescent="0.25">
      <c r="A288" s="43">
        <v>261</v>
      </c>
      <c r="B288" s="52" t="s">
        <v>73</v>
      </c>
      <c r="C288" s="53">
        <f t="shared" ref="C288:C297" si="36">9/20</f>
        <v>0.45</v>
      </c>
      <c r="D288" s="53">
        <f t="shared" ref="D288:D297" si="37">3/20</f>
        <v>0.15</v>
      </c>
      <c r="E288" s="54">
        <f t="shared" ref="E288:E297" si="38">C288-D288</f>
        <v>0.30000000000000004</v>
      </c>
      <c r="F288" s="26">
        <v>20</v>
      </c>
      <c r="G288" s="47">
        <v>61.05</v>
      </c>
      <c r="H288" s="47">
        <v>28.6</v>
      </c>
      <c r="I288" s="47">
        <v>60.9</v>
      </c>
      <c r="J288" s="47">
        <v>60.1</v>
      </c>
      <c r="K288" s="47">
        <v>56.9</v>
      </c>
      <c r="L288" s="51"/>
      <c r="M288" s="51"/>
      <c r="N288" s="51"/>
      <c r="O288" s="51"/>
      <c r="P288" s="51"/>
      <c r="Q288" s="51"/>
      <c r="R288" s="21"/>
      <c r="S288" s="21"/>
      <c r="T288" s="21"/>
      <c r="U288" s="21"/>
      <c r="V288" s="21"/>
      <c r="W288" s="21"/>
      <c r="X288" s="21"/>
      <c r="Y288" s="21"/>
    </row>
    <row r="289" spans="1:25" x14ac:dyDescent="0.25">
      <c r="A289" s="43">
        <v>262</v>
      </c>
      <c r="B289" s="40"/>
      <c r="C289" s="53">
        <f t="shared" si="36"/>
        <v>0.45</v>
      </c>
      <c r="D289" s="53">
        <f t="shared" si="37"/>
        <v>0.15</v>
      </c>
      <c r="E289" s="54">
        <f t="shared" si="38"/>
        <v>0.30000000000000004</v>
      </c>
      <c r="F289" s="26">
        <v>20</v>
      </c>
      <c r="G289" s="47">
        <v>61.05</v>
      </c>
      <c r="H289" s="47">
        <v>28.5</v>
      </c>
      <c r="I289" s="47">
        <v>60.7</v>
      </c>
      <c r="J289" s="47">
        <v>60.1</v>
      </c>
      <c r="K289" s="47">
        <v>56.7</v>
      </c>
      <c r="L289" s="51"/>
      <c r="M289" s="51"/>
      <c r="N289" s="51"/>
      <c r="O289" s="51"/>
      <c r="P289" s="51"/>
      <c r="Q289" s="51"/>
      <c r="R289" s="21"/>
      <c r="S289" s="21"/>
      <c r="T289" s="21"/>
      <c r="U289" s="21"/>
      <c r="V289" s="21"/>
      <c r="W289" s="21"/>
      <c r="X289" s="21"/>
      <c r="Y289" s="21"/>
    </row>
    <row r="290" spans="1:25" x14ac:dyDescent="0.25">
      <c r="A290" s="43">
        <v>263</v>
      </c>
      <c r="B290" s="40"/>
      <c r="C290" s="53">
        <f t="shared" si="36"/>
        <v>0.45</v>
      </c>
      <c r="D290" s="53">
        <f t="shared" si="37"/>
        <v>0.15</v>
      </c>
      <c r="E290" s="54">
        <f t="shared" si="38"/>
        <v>0.30000000000000004</v>
      </c>
      <c r="F290" s="26">
        <v>20</v>
      </c>
      <c r="G290" s="47">
        <v>61.05</v>
      </c>
      <c r="H290" s="47">
        <v>28.6</v>
      </c>
      <c r="I290" s="47">
        <v>60.7</v>
      </c>
      <c r="J290" s="47">
        <v>60.1</v>
      </c>
      <c r="K290" s="47">
        <v>56.75</v>
      </c>
      <c r="L290" s="51"/>
      <c r="M290" s="51"/>
      <c r="N290" s="51"/>
      <c r="O290" s="51"/>
      <c r="P290" s="51"/>
      <c r="Q290" s="51"/>
      <c r="R290" s="21"/>
      <c r="S290" s="21"/>
      <c r="T290" s="21"/>
      <c r="U290" s="21"/>
      <c r="V290" s="21"/>
      <c r="W290" s="21"/>
      <c r="X290" s="21"/>
      <c r="Y290" s="21"/>
    </row>
    <row r="291" spans="1:25" x14ac:dyDescent="0.25">
      <c r="A291" s="43">
        <v>264</v>
      </c>
      <c r="B291" s="40"/>
      <c r="C291" s="53">
        <f t="shared" si="36"/>
        <v>0.45</v>
      </c>
      <c r="D291" s="53">
        <f t="shared" si="37"/>
        <v>0.15</v>
      </c>
      <c r="E291" s="54">
        <f t="shared" si="38"/>
        <v>0.30000000000000004</v>
      </c>
      <c r="F291" s="26">
        <v>20</v>
      </c>
      <c r="G291" s="47">
        <v>61.3</v>
      </c>
      <c r="H291" s="47">
        <v>28.6</v>
      </c>
      <c r="I291" s="47">
        <v>60.9</v>
      </c>
      <c r="J291" s="47">
        <v>60.3</v>
      </c>
      <c r="K291" s="47">
        <v>56.75</v>
      </c>
      <c r="L291" s="51"/>
      <c r="M291" s="51"/>
      <c r="N291" s="51"/>
      <c r="O291" s="51"/>
      <c r="P291" s="51"/>
      <c r="Q291" s="51"/>
      <c r="R291" s="21"/>
      <c r="S291" s="21"/>
      <c r="T291" s="21"/>
      <c r="U291" s="21"/>
      <c r="V291" s="21"/>
      <c r="W291" s="21"/>
      <c r="X291" s="21"/>
      <c r="Y291" s="21"/>
    </row>
    <row r="292" spans="1:25" x14ac:dyDescent="0.25">
      <c r="A292" s="43">
        <v>265</v>
      </c>
      <c r="B292" s="40"/>
      <c r="C292" s="53">
        <f t="shared" si="36"/>
        <v>0.45</v>
      </c>
      <c r="D292" s="53">
        <f t="shared" si="37"/>
        <v>0.15</v>
      </c>
      <c r="E292" s="54">
        <f t="shared" si="38"/>
        <v>0.30000000000000004</v>
      </c>
      <c r="F292" s="26">
        <v>20</v>
      </c>
      <c r="G292" s="47">
        <v>61.1</v>
      </c>
      <c r="H292" s="47">
        <v>28.6</v>
      </c>
      <c r="I292" s="47">
        <v>60.9</v>
      </c>
      <c r="J292" s="47">
        <v>60.3</v>
      </c>
      <c r="K292" s="47">
        <v>56.8</v>
      </c>
      <c r="L292" s="51"/>
      <c r="M292" s="51"/>
      <c r="N292" s="51"/>
      <c r="O292" s="51"/>
      <c r="P292" s="51"/>
      <c r="Q292" s="51"/>
      <c r="R292" s="21"/>
      <c r="S292" s="21"/>
      <c r="T292" s="21"/>
      <c r="U292" s="21"/>
      <c r="V292" s="21"/>
      <c r="W292" s="21"/>
      <c r="X292" s="21"/>
      <c r="Y292" s="21"/>
    </row>
    <row r="293" spans="1:25" x14ac:dyDescent="0.25">
      <c r="A293" s="43">
        <v>266</v>
      </c>
      <c r="B293" s="40"/>
      <c r="C293" s="53">
        <f t="shared" si="36"/>
        <v>0.45</v>
      </c>
      <c r="D293" s="53">
        <f t="shared" si="37"/>
        <v>0.15</v>
      </c>
      <c r="E293" s="54">
        <f t="shared" si="38"/>
        <v>0.30000000000000004</v>
      </c>
      <c r="F293" s="26">
        <v>20</v>
      </c>
      <c r="G293" s="47">
        <v>61.05</v>
      </c>
      <c r="H293" s="47">
        <v>28.6</v>
      </c>
      <c r="I293" s="47">
        <v>60.7</v>
      </c>
      <c r="J293" s="47">
        <v>60.1</v>
      </c>
      <c r="K293" s="47">
        <v>56.75</v>
      </c>
      <c r="L293" s="51"/>
      <c r="M293" s="51"/>
      <c r="N293" s="51"/>
      <c r="O293" s="51"/>
      <c r="P293" s="51"/>
      <c r="Q293" s="51"/>
      <c r="R293" s="21"/>
      <c r="S293" s="21"/>
      <c r="T293" s="21"/>
      <c r="U293" s="21"/>
      <c r="V293" s="21"/>
      <c r="W293" s="21"/>
      <c r="X293" s="21"/>
      <c r="Y293" s="21"/>
    </row>
    <row r="294" spans="1:25" x14ac:dyDescent="0.25">
      <c r="A294" s="43">
        <v>267</v>
      </c>
      <c r="B294" s="40"/>
      <c r="C294" s="53">
        <f t="shared" si="36"/>
        <v>0.45</v>
      </c>
      <c r="D294" s="53">
        <f t="shared" si="37"/>
        <v>0.15</v>
      </c>
      <c r="E294" s="54">
        <f t="shared" si="38"/>
        <v>0.30000000000000004</v>
      </c>
      <c r="F294" s="26">
        <v>20</v>
      </c>
      <c r="G294" s="47">
        <v>61</v>
      </c>
      <c r="H294" s="47">
        <v>28.4</v>
      </c>
      <c r="I294" s="47">
        <v>60.6</v>
      </c>
      <c r="J294" s="47">
        <v>60</v>
      </c>
      <c r="K294" s="47">
        <v>56.5</v>
      </c>
      <c r="L294" s="51"/>
      <c r="M294" s="51"/>
      <c r="N294" s="51"/>
      <c r="O294" s="51"/>
      <c r="P294" s="51"/>
      <c r="Q294" s="51"/>
      <c r="R294" s="21"/>
      <c r="S294" s="21"/>
      <c r="T294" s="21"/>
      <c r="U294" s="21"/>
      <c r="V294" s="21"/>
      <c r="W294" s="21"/>
      <c r="X294" s="21"/>
      <c r="Y294" s="21"/>
    </row>
    <row r="295" spans="1:25" x14ac:dyDescent="0.25">
      <c r="A295" s="43">
        <v>268</v>
      </c>
      <c r="B295" s="40"/>
      <c r="C295" s="53">
        <f t="shared" si="36"/>
        <v>0.45</v>
      </c>
      <c r="D295" s="53">
        <f t="shared" si="37"/>
        <v>0.15</v>
      </c>
      <c r="E295" s="54">
        <f t="shared" si="38"/>
        <v>0.30000000000000004</v>
      </c>
      <c r="F295" s="26">
        <v>20</v>
      </c>
      <c r="G295" s="47">
        <v>61.05</v>
      </c>
      <c r="H295" s="47">
        <v>28.549999999999997</v>
      </c>
      <c r="I295" s="47">
        <v>60.9</v>
      </c>
      <c r="J295" s="47">
        <v>60.1</v>
      </c>
      <c r="K295" s="47">
        <v>56.75</v>
      </c>
      <c r="L295" s="51"/>
      <c r="M295" s="51"/>
      <c r="N295" s="51"/>
      <c r="O295" s="51"/>
      <c r="P295" s="51"/>
      <c r="Q295" s="51"/>
      <c r="R295" s="21"/>
      <c r="S295" s="21"/>
      <c r="T295" s="21"/>
      <c r="U295" s="21"/>
      <c r="V295" s="21"/>
      <c r="W295" s="21"/>
      <c r="X295" s="21"/>
      <c r="Y295" s="21"/>
    </row>
    <row r="296" spans="1:25" x14ac:dyDescent="0.25">
      <c r="A296" s="43">
        <v>269</v>
      </c>
      <c r="B296" s="40"/>
      <c r="C296" s="53">
        <f t="shared" si="36"/>
        <v>0.45</v>
      </c>
      <c r="D296" s="53">
        <f t="shared" si="37"/>
        <v>0.15</v>
      </c>
      <c r="E296" s="54">
        <f t="shared" si="38"/>
        <v>0.30000000000000004</v>
      </c>
      <c r="F296" s="26">
        <v>20</v>
      </c>
      <c r="G296" s="47">
        <v>61.15</v>
      </c>
      <c r="H296" s="47">
        <v>28.7</v>
      </c>
      <c r="I296" s="47">
        <v>60.9</v>
      </c>
      <c r="J296" s="47">
        <v>60.1</v>
      </c>
      <c r="K296" s="47">
        <v>56.85</v>
      </c>
      <c r="L296" s="51"/>
      <c r="M296" s="51"/>
      <c r="N296" s="51"/>
      <c r="O296" s="51"/>
      <c r="P296" s="51"/>
      <c r="Q296" s="51"/>
      <c r="R296" s="21"/>
      <c r="S296" s="21"/>
      <c r="T296" s="21"/>
      <c r="U296" s="21"/>
      <c r="V296" s="21"/>
      <c r="W296" s="21"/>
      <c r="X296" s="21"/>
      <c r="Y296" s="21"/>
    </row>
    <row r="297" spans="1:25" x14ac:dyDescent="0.25">
      <c r="A297" s="43">
        <v>270</v>
      </c>
      <c r="B297" s="40"/>
      <c r="C297" s="53">
        <f t="shared" si="36"/>
        <v>0.45</v>
      </c>
      <c r="D297" s="53">
        <f t="shared" si="37"/>
        <v>0.15</v>
      </c>
      <c r="E297" s="54">
        <f t="shared" si="38"/>
        <v>0.30000000000000004</v>
      </c>
      <c r="F297" s="26">
        <v>20</v>
      </c>
      <c r="G297" s="47">
        <v>61.2</v>
      </c>
      <c r="H297" s="47">
        <v>28.6</v>
      </c>
      <c r="I297" s="47">
        <v>60.9</v>
      </c>
      <c r="J297" s="47">
        <v>60.1</v>
      </c>
      <c r="K297" s="47">
        <v>56.85</v>
      </c>
      <c r="L297" s="51"/>
      <c r="M297" s="51"/>
      <c r="N297" s="51"/>
      <c r="O297" s="51"/>
      <c r="P297" s="51"/>
      <c r="Q297" s="51"/>
      <c r="R297" s="21"/>
      <c r="S297" s="21"/>
      <c r="T297" s="21"/>
      <c r="U297" s="21"/>
      <c r="V297" s="21"/>
      <c r="W297" s="21"/>
      <c r="X297" s="21"/>
      <c r="Y297" s="21"/>
    </row>
    <row r="298" spans="1:25" x14ac:dyDescent="0.25">
      <c r="A298" s="40"/>
      <c r="B298" s="40"/>
      <c r="C298" s="45"/>
      <c r="D298" s="45"/>
      <c r="E298" s="45"/>
      <c r="F298" s="48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21"/>
      <c r="S298" s="21"/>
      <c r="T298" s="21"/>
      <c r="U298" s="21"/>
      <c r="V298" s="21"/>
      <c r="W298" s="21"/>
      <c r="X298" s="21"/>
      <c r="Y298" s="21"/>
    </row>
    <row r="299" spans="1:25" x14ac:dyDescent="0.25">
      <c r="A299" s="43">
        <v>271</v>
      </c>
      <c r="B299" s="43" t="s">
        <v>74</v>
      </c>
      <c r="C299" s="53">
        <f t="shared" ref="C299:C308" si="39">8/20</f>
        <v>0.4</v>
      </c>
      <c r="D299" s="53">
        <f t="shared" ref="D299:D308" si="40">2/20</f>
        <v>0.1</v>
      </c>
      <c r="E299" s="54">
        <f t="shared" ref="E299:E308" si="41">C299-D299</f>
        <v>0.30000000000000004</v>
      </c>
      <c r="F299" s="46">
        <v>15</v>
      </c>
      <c r="G299" s="47">
        <v>61.3</v>
      </c>
      <c r="H299" s="47">
        <v>28.1</v>
      </c>
      <c r="I299" s="47">
        <v>61</v>
      </c>
      <c r="J299" s="47">
        <v>60.5</v>
      </c>
      <c r="K299" s="47">
        <v>56.7</v>
      </c>
      <c r="L299" s="51"/>
      <c r="M299" s="51"/>
      <c r="N299" s="51"/>
      <c r="O299" s="51"/>
      <c r="P299" s="51"/>
      <c r="Q299" s="51"/>
      <c r="R299" s="21"/>
      <c r="S299" s="21"/>
      <c r="T299" s="21"/>
      <c r="U299" s="21"/>
      <c r="V299" s="21"/>
      <c r="W299" s="21"/>
      <c r="X299" s="21"/>
      <c r="Y299" s="21"/>
    </row>
    <row r="300" spans="1:25" x14ac:dyDescent="0.25">
      <c r="A300" s="43">
        <v>272</v>
      </c>
      <c r="B300" s="40"/>
      <c r="C300" s="53">
        <f t="shared" si="39"/>
        <v>0.4</v>
      </c>
      <c r="D300" s="53">
        <f t="shared" si="40"/>
        <v>0.1</v>
      </c>
      <c r="E300" s="54">
        <f t="shared" si="41"/>
        <v>0.30000000000000004</v>
      </c>
      <c r="F300" s="46">
        <v>15</v>
      </c>
      <c r="G300" s="47">
        <v>61.2</v>
      </c>
      <c r="H300" s="47">
        <v>28.200000000000003</v>
      </c>
      <c r="I300" s="47">
        <v>61</v>
      </c>
      <c r="J300" s="47">
        <v>60.7</v>
      </c>
      <c r="K300" s="47">
        <v>57.1</v>
      </c>
      <c r="L300" s="51"/>
      <c r="M300" s="51"/>
      <c r="N300" s="51"/>
      <c r="O300" s="51"/>
      <c r="P300" s="51"/>
      <c r="Q300" s="51"/>
      <c r="R300" s="21"/>
      <c r="S300" s="21"/>
      <c r="T300" s="21"/>
      <c r="U300" s="21"/>
      <c r="V300" s="21"/>
      <c r="W300" s="21"/>
      <c r="X300" s="21"/>
      <c r="Y300" s="21"/>
    </row>
    <row r="301" spans="1:25" x14ac:dyDescent="0.25">
      <c r="A301" s="43">
        <v>273</v>
      </c>
      <c r="B301" s="40"/>
      <c r="C301" s="53">
        <f t="shared" si="39"/>
        <v>0.4</v>
      </c>
      <c r="D301" s="53">
        <f t="shared" si="40"/>
        <v>0.1</v>
      </c>
      <c r="E301" s="54">
        <f t="shared" si="41"/>
        <v>0.30000000000000004</v>
      </c>
      <c r="F301" s="46">
        <v>15</v>
      </c>
      <c r="G301" s="47">
        <v>61.5</v>
      </c>
      <c r="H301" s="47">
        <v>28.2</v>
      </c>
      <c r="I301" s="47">
        <v>61</v>
      </c>
      <c r="J301" s="47">
        <v>60.7</v>
      </c>
      <c r="K301" s="47">
        <v>57.1</v>
      </c>
      <c r="L301" s="51"/>
      <c r="M301" s="51"/>
      <c r="N301" s="51"/>
      <c r="O301" s="51"/>
      <c r="P301" s="51"/>
      <c r="Q301" s="51"/>
      <c r="R301" s="21"/>
      <c r="S301" s="21"/>
      <c r="T301" s="21"/>
      <c r="U301" s="21"/>
      <c r="V301" s="21"/>
      <c r="W301" s="21"/>
      <c r="X301" s="21"/>
      <c r="Y301" s="21"/>
    </row>
    <row r="302" spans="1:25" x14ac:dyDescent="0.25">
      <c r="A302" s="43">
        <v>274</v>
      </c>
      <c r="B302" s="40"/>
      <c r="C302" s="53">
        <f t="shared" si="39"/>
        <v>0.4</v>
      </c>
      <c r="D302" s="53">
        <f t="shared" si="40"/>
        <v>0.1</v>
      </c>
      <c r="E302" s="54">
        <f t="shared" si="41"/>
        <v>0.30000000000000004</v>
      </c>
      <c r="F302" s="46">
        <v>15</v>
      </c>
      <c r="G302" s="47">
        <v>61.4</v>
      </c>
      <c r="H302" s="47">
        <v>28.25</v>
      </c>
      <c r="I302" s="47">
        <v>61</v>
      </c>
      <c r="J302" s="47">
        <v>60.6</v>
      </c>
      <c r="K302" s="47">
        <v>57.2</v>
      </c>
      <c r="L302" s="51"/>
      <c r="M302" s="51"/>
      <c r="N302" s="51"/>
      <c r="O302" s="51"/>
      <c r="P302" s="51"/>
      <c r="Q302" s="51"/>
      <c r="R302" s="21"/>
      <c r="S302" s="21"/>
      <c r="T302" s="21"/>
      <c r="U302" s="21"/>
      <c r="V302" s="21"/>
      <c r="W302" s="21"/>
      <c r="X302" s="21"/>
      <c r="Y302" s="21"/>
    </row>
    <row r="303" spans="1:25" x14ac:dyDescent="0.25">
      <c r="A303" s="43">
        <v>275</v>
      </c>
      <c r="B303" s="40"/>
      <c r="C303" s="53">
        <f t="shared" si="39"/>
        <v>0.4</v>
      </c>
      <c r="D303" s="53">
        <f t="shared" si="40"/>
        <v>0.1</v>
      </c>
      <c r="E303" s="54">
        <f t="shared" si="41"/>
        <v>0.30000000000000004</v>
      </c>
      <c r="F303" s="46">
        <v>15</v>
      </c>
      <c r="G303" s="47">
        <v>61.75</v>
      </c>
      <c r="H303" s="47">
        <v>28.3</v>
      </c>
      <c r="I303" s="47">
        <v>61.3</v>
      </c>
      <c r="J303" s="47">
        <v>60.6</v>
      </c>
      <c r="K303" s="47">
        <v>57.2</v>
      </c>
      <c r="L303" s="51"/>
      <c r="M303" s="51"/>
      <c r="N303" s="51"/>
      <c r="O303" s="51"/>
      <c r="P303" s="51"/>
      <c r="Q303" s="51"/>
      <c r="R303" s="21"/>
      <c r="S303" s="21"/>
      <c r="T303" s="21"/>
      <c r="U303" s="21"/>
      <c r="V303" s="21"/>
      <c r="W303" s="21"/>
      <c r="X303" s="21"/>
      <c r="Y303" s="21"/>
    </row>
    <row r="304" spans="1:25" x14ac:dyDescent="0.25">
      <c r="A304" s="43">
        <v>276</v>
      </c>
      <c r="B304" s="40"/>
      <c r="C304" s="53">
        <f t="shared" si="39"/>
        <v>0.4</v>
      </c>
      <c r="D304" s="53">
        <f t="shared" si="40"/>
        <v>0.1</v>
      </c>
      <c r="E304" s="54">
        <f t="shared" si="41"/>
        <v>0.30000000000000004</v>
      </c>
      <c r="F304" s="46">
        <v>15</v>
      </c>
      <c r="G304" s="47">
        <v>61.4</v>
      </c>
      <c r="H304" s="47">
        <v>27.8</v>
      </c>
      <c r="I304" s="47">
        <v>61.1</v>
      </c>
      <c r="J304" s="47">
        <v>60.6</v>
      </c>
      <c r="K304" s="47">
        <v>56.75</v>
      </c>
      <c r="L304" s="51"/>
      <c r="M304" s="51"/>
      <c r="N304" s="51"/>
      <c r="O304" s="51"/>
      <c r="P304" s="51"/>
      <c r="Q304" s="51"/>
      <c r="R304" s="21"/>
      <c r="S304" s="21"/>
      <c r="T304" s="21"/>
      <c r="U304" s="21"/>
      <c r="V304" s="21"/>
      <c r="W304" s="21"/>
      <c r="X304" s="21"/>
      <c r="Y304" s="21"/>
    </row>
    <row r="305" spans="1:25" x14ac:dyDescent="0.25">
      <c r="A305" s="43">
        <v>277</v>
      </c>
      <c r="B305" s="40"/>
      <c r="C305" s="53">
        <f t="shared" si="39"/>
        <v>0.4</v>
      </c>
      <c r="D305" s="53">
        <f t="shared" si="40"/>
        <v>0.1</v>
      </c>
      <c r="E305" s="54">
        <f t="shared" si="41"/>
        <v>0.30000000000000004</v>
      </c>
      <c r="F305" s="46">
        <v>15</v>
      </c>
      <c r="G305" s="47">
        <v>61.3</v>
      </c>
      <c r="H305" s="47">
        <v>27.7</v>
      </c>
      <c r="I305" s="47">
        <v>61</v>
      </c>
      <c r="J305" s="47">
        <v>60.6</v>
      </c>
      <c r="K305" s="47">
        <v>56.9</v>
      </c>
      <c r="L305" s="51"/>
      <c r="M305" s="51"/>
      <c r="N305" s="51"/>
      <c r="O305" s="51"/>
      <c r="P305" s="51"/>
      <c r="Q305" s="51"/>
      <c r="R305" s="21"/>
      <c r="S305" s="21"/>
      <c r="T305" s="21"/>
      <c r="U305" s="21"/>
      <c r="V305" s="21"/>
      <c r="W305" s="21"/>
      <c r="X305" s="21"/>
      <c r="Y305" s="21"/>
    </row>
    <row r="306" spans="1:25" x14ac:dyDescent="0.25">
      <c r="A306" s="43">
        <v>278</v>
      </c>
      <c r="B306" s="40"/>
      <c r="C306" s="53">
        <f t="shared" si="39"/>
        <v>0.4</v>
      </c>
      <c r="D306" s="53">
        <f t="shared" si="40"/>
        <v>0.1</v>
      </c>
      <c r="E306" s="54">
        <f t="shared" si="41"/>
        <v>0.30000000000000004</v>
      </c>
      <c r="F306" s="46">
        <v>15</v>
      </c>
      <c r="G306" s="47">
        <v>61.2</v>
      </c>
      <c r="H306" s="47">
        <v>27.5</v>
      </c>
      <c r="I306" s="47">
        <v>61</v>
      </c>
      <c r="J306" s="47">
        <v>60.5</v>
      </c>
      <c r="K306" s="47">
        <v>56.9</v>
      </c>
      <c r="L306" s="51"/>
      <c r="M306" s="51"/>
      <c r="N306" s="51"/>
      <c r="O306" s="51"/>
      <c r="P306" s="51"/>
      <c r="Q306" s="51"/>
      <c r="R306" s="21"/>
      <c r="S306" s="21"/>
      <c r="T306" s="21"/>
      <c r="U306" s="21"/>
      <c r="V306" s="21"/>
      <c r="W306" s="21"/>
      <c r="X306" s="21"/>
      <c r="Y306" s="21"/>
    </row>
    <row r="307" spans="1:25" x14ac:dyDescent="0.25">
      <c r="A307" s="43">
        <v>279</v>
      </c>
      <c r="B307" s="40"/>
      <c r="C307" s="53">
        <f t="shared" si="39"/>
        <v>0.4</v>
      </c>
      <c r="D307" s="53">
        <f t="shared" si="40"/>
        <v>0.1</v>
      </c>
      <c r="E307" s="54">
        <f t="shared" si="41"/>
        <v>0.30000000000000004</v>
      </c>
      <c r="F307" s="46">
        <v>15</v>
      </c>
      <c r="G307" s="47">
        <v>61.3</v>
      </c>
      <c r="H307" s="47">
        <v>27.5</v>
      </c>
      <c r="I307" s="47">
        <v>61</v>
      </c>
      <c r="J307" s="47">
        <v>60.7</v>
      </c>
      <c r="K307" s="47">
        <v>56.9</v>
      </c>
      <c r="L307" s="51"/>
      <c r="M307" s="51"/>
      <c r="N307" s="51"/>
      <c r="O307" s="51"/>
      <c r="P307" s="51"/>
      <c r="Q307" s="51"/>
      <c r="R307" s="21"/>
      <c r="S307" s="21"/>
      <c r="T307" s="21"/>
      <c r="U307" s="21"/>
      <c r="V307" s="21"/>
      <c r="W307" s="21"/>
      <c r="X307" s="21"/>
      <c r="Y307" s="21"/>
    </row>
    <row r="308" spans="1:25" x14ac:dyDescent="0.25">
      <c r="A308" s="43">
        <v>280</v>
      </c>
      <c r="B308" s="40"/>
      <c r="C308" s="53">
        <f t="shared" si="39"/>
        <v>0.4</v>
      </c>
      <c r="D308" s="53">
        <f t="shared" si="40"/>
        <v>0.1</v>
      </c>
      <c r="E308" s="54">
        <f t="shared" si="41"/>
        <v>0.30000000000000004</v>
      </c>
      <c r="F308" s="46">
        <v>15</v>
      </c>
      <c r="G308" s="47">
        <v>61.2</v>
      </c>
      <c r="H308" s="47">
        <v>27.6</v>
      </c>
      <c r="I308" s="47">
        <v>60.9</v>
      </c>
      <c r="J308" s="47">
        <v>60.5</v>
      </c>
      <c r="K308" s="47">
        <v>57</v>
      </c>
      <c r="L308" s="51"/>
      <c r="M308" s="51"/>
      <c r="N308" s="51"/>
      <c r="O308" s="51"/>
      <c r="P308" s="51"/>
      <c r="Q308" s="51"/>
      <c r="R308" s="21"/>
      <c r="S308" s="21"/>
      <c r="T308" s="21"/>
      <c r="U308" s="21"/>
      <c r="V308" s="21"/>
      <c r="W308" s="21"/>
      <c r="X308" s="21"/>
      <c r="Y308" s="21"/>
    </row>
    <row r="309" spans="1:25" x14ac:dyDescent="0.25">
      <c r="A309" s="40"/>
      <c r="B309" s="40"/>
      <c r="C309" s="45"/>
      <c r="D309" s="45"/>
      <c r="E309" s="45"/>
      <c r="F309" s="48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21"/>
      <c r="S309" s="21"/>
      <c r="T309" s="21"/>
      <c r="U309" s="21"/>
      <c r="V309" s="21"/>
      <c r="W309" s="21"/>
      <c r="X309" s="21"/>
      <c r="Y309" s="21"/>
    </row>
    <row r="310" spans="1:25" x14ac:dyDescent="0.25">
      <c r="A310" s="43">
        <v>281</v>
      </c>
      <c r="B310" s="43" t="s">
        <v>75</v>
      </c>
      <c r="C310" s="53">
        <f t="shared" ref="C310:C319" si="42">5/20</f>
        <v>0.25</v>
      </c>
      <c r="D310" s="53">
        <f t="shared" ref="D310:D319" si="43">2.1/20</f>
        <v>0.10500000000000001</v>
      </c>
      <c r="E310" s="54">
        <f t="shared" ref="E310:E319" si="44">C310-D310</f>
        <v>0.14499999999999999</v>
      </c>
      <c r="F310" s="46">
        <v>10</v>
      </c>
      <c r="G310" s="47">
        <v>60.8</v>
      </c>
      <c r="H310" s="47">
        <v>27.8</v>
      </c>
      <c r="I310" s="47">
        <v>60.4</v>
      </c>
      <c r="J310" s="47">
        <v>60.2</v>
      </c>
      <c r="K310" s="47">
        <v>56.2</v>
      </c>
      <c r="L310" s="51"/>
      <c r="M310" s="51"/>
      <c r="N310" s="51"/>
      <c r="O310" s="51"/>
      <c r="P310" s="51"/>
      <c r="Q310" s="51"/>
      <c r="R310" s="21"/>
      <c r="S310" s="21"/>
      <c r="T310" s="21"/>
      <c r="U310" s="21"/>
      <c r="V310" s="21"/>
      <c r="W310" s="21"/>
      <c r="X310" s="21"/>
      <c r="Y310" s="21"/>
    </row>
    <row r="311" spans="1:25" x14ac:dyDescent="0.25">
      <c r="A311" s="43">
        <v>282</v>
      </c>
      <c r="B311" s="40"/>
      <c r="C311" s="53">
        <f t="shared" si="42"/>
        <v>0.25</v>
      </c>
      <c r="D311" s="53">
        <f t="shared" si="43"/>
        <v>0.10500000000000001</v>
      </c>
      <c r="E311" s="54">
        <f t="shared" si="44"/>
        <v>0.14499999999999999</v>
      </c>
      <c r="F311" s="46">
        <v>10</v>
      </c>
      <c r="G311" s="47">
        <v>60.8</v>
      </c>
      <c r="H311" s="47">
        <v>27.8</v>
      </c>
      <c r="I311" s="47">
        <v>60.5</v>
      </c>
      <c r="J311" s="47">
        <v>60.2</v>
      </c>
      <c r="K311" s="47">
        <v>56.25</v>
      </c>
      <c r="L311" s="51"/>
      <c r="M311" s="51"/>
      <c r="N311" s="51"/>
      <c r="O311" s="51"/>
      <c r="P311" s="51"/>
      <c r="Q311" s="51"/>
      <c r="R311" s="21"/>
      <c r="S311" s="21"/>
      <c r="T311" s="21"/>
      <c r="U311" s="21"/>
      <c r="V311" s="21"/>
      <c r="W311" s="21"/>
      <c r="X311" s="21"/>
      <c r="Y311" s="21"/>
    </row>
    <row r="312" spans="1:25" x14ac:dyDescent="0.25">
      <c r="A312" s="43">
        <v>283</v>
      </c>
      <c r="B312" s="40"/>
      <c r="C312" s="53">
        <f t="shared" si="42"/>
        <v>0.25</v>
      </c>
      <c r="D312" s="53">
        <f t="shared" si="43"/>
        <v>0.10500000000000001</v>
      </c>
      <c r="E312" s="54">
        <f t="shared" si="44"/>
        <v>0.14499999999999999</v>
      </c>
      <c r="F312" s="46">
        <v>10</v>
      </c>
      <c r="G312" s="47">
        <v>60.8</v>
      </c>
      <c r="H312" s="47">
        <v>27.65</v>
      </c>
      <c r="I312" s="47">
        <v>60.5</v>
      </c>
      <c r="J312" s="47">
        <v>60.1</v>
      </c>
      <c r="K312" s="47">
        <v>56.05</v>
      </c>
      <c r="L312" s="51"/>
      <c r="M312" s="51"/>
      <c r="N312" s="51"/>
      <c r="O312" s="51"/>
      <c r="P312" s="51"/>
      <c r="Q312" s="51"/>
      <c r="R312" s="21"/>
      <c r="S312" s="21"/>
      <c r="T312" s="21"/>
      <c r="U312" s="21"/>
      <c r="V312" s="21"/>
      <c r="W312" s="21"/>
      <c r="X312" s="21"/>
      <c r="Y312" s="21"/>
    </row>
    <row r="313" spans="1:25" x14ac:dyDescent="0.25">
      <c r="A313" s="43">
        <v>284</v>
      </c>
      <c r="B313" s="40"/>
      <c r="C313" s="53">
        <f t="shared" si="42"/>
        <v>0.25</v>
      </c>
      <c r="D313" s="53">
        <f t="shared" si="43"/>
        <v>0.10500000000000001</v>
      </c>
      <c r="E313" s="54">
        <f t="shared" si="44"/>
        <v>0.14499999999999999</v>
      </c>
      <c r="F313" s="46">
        <v>10</v>
      </c>
      <c r="G313" s="47">
        <v>60.9</v>
      </c>
      <c r="H313" s="47">
        <v>27.4</v>
      </c>
      <c r="I313" s="47">
        <v>60.5</v>
      </c>
      <c r="J313" s="47">
        <v>60.2</v>
      </c>
      <c r="K313" s="47">
        <v>55.75</v>
      </c>
      <c r="L313" s="51"/>
      <c r="M313" s="51"/>
      <c r="N313" s="51"/>
      <c r="O313" s="51"/>
      <c r="P313" s="51"/>
      <c r="Q313" s="51"/>
      <c r="R313" s="21"/>
      <c r="S313" s="21"/>
      <c r="T313" s="21"/>
      <c r="U313" s="21"/>
      <c r="V313" s="21"/>
      <c r="W313" s="21"/>
      <c r="X313" s="21"/>
      <c r="Y313" s="21"/>
    </row>
    <row r="314" spans="1:25" x14ac:dyDescent="0.25">
      <c r="A314" s="43">
        <v>285</v>
      </c>
      <c r="B314" s="40"/>
      <c r="C314" s="53">
        <f t="shared" si="42"/>
        <v>0.25</v>
      </c>
      <c r="D314" s="53">
        <f t="shared" si="43"/>
        <v>0.10500000000000001</v>
      </c>
      <c r="E314" s="54">
        <f t="shared" si="44"/>
        <v>0.14499999999999999</v>
      </c>
      <c r="F314" s="46">
        <v>10</v>
      </c>
      <c r="G314" s="47">
        <v>60.75</v>
      </c>
      <c r="H314" s="47">
        <v>27.3</v>
      </c>
      <c r="I314" s="47">
        <v>60.4</v>
      </c>
      <c r="J314" s="47">
        <v>60.2</v>
      </c>
      <c r="K314" s="47">
        <v>55.95</v>
      </c>
      <c r="L314" s="51"/>
      <c r="M314" s="51"/>
      <c r="N314" s="51"/>
      <c r="O314" s="51"/>
      <c r="P314" s="51"/>
      <c r="Q314" s="51"/>
      <c r="R314" s="21"/>
      <c r="S314" s="21"/>
      <c r="T314" s="21"/>
      <c r="U314" s="21"/>
      <c r="V314" s="21"/>
      <c r="W314" s="21"/>
      <c r="X314" s="21"/>
      <c r="Y314" s="21"/>
    </row>
    <row r="315" spans="1:25" x14ac:dyDescent="0.25">
      <c r="A315" s="43">
        <v>286</v>
      </c>
      <c r="B315" s="40"/>
      <c r="C315" s="53">
        <f t="shared" si="42"/>
        <v>0.25</v>
      </c>
      <c r="D315" s="53">
        <f t="shared" si="43"/>
        <v>0.10500000000000001</v>
      </c>
      <c r="E315" s="54">
        <f t="shared" si="44"/>
        <v>0.14499999999999999</v>
      </c>
      <c r="F315" s="46">
        <v>10</v>
      </c>
      <c r="G315" s="47">
        <v>60.6</v>
      </c>
      <c r="H315" s="47">
        <v>27.450000000000003</v>
      </c>
      <c r="I315" s="47">
        <v>60.4</v>
      </c>
      <c r="J315" s="47">
        <v>60.2</v>
      </c>
      <c r="K315" s="47">
        <v>56.150000000000006</v>
      </c>
      <c r="L315" s="51"/>
      <c r="M315" s="51"/>
      <c r="N315" s="51"/>
      <c r="O315" s="51"/>
      <c r="P315" s="51"/>
      <c r="Q315" s="51"/>
      <c r="R315" s="21"/>
      <c r="S315" s="21"/>
      <c r="T315" s="21"/>
      <c r="U315" s="21"/>
      <c r="V315" s="21"/>
      <c r="W315" s="21"/>
      <c r="X315" s="21"/>
      <c r="Y315" s="21"/>
    </row>
    <row r="316" spans="1:25" x14ac:dyDescent="0.25">
      <c r="A316" s="43">
        <v>287</v>
      </c>
      <c r="B316" s="40"/>
      <c r="C316" s="53">
        <f t="shared" si="42"/>
        <v>0.25</v>
      </c>
      <c r="D316" s="53">
        <f t="shared" si="43"/>
        <v>0.10500000000000001</v>
      </c>
      <c r="E316" s="54">
        <f t="shared" si="44"/>
        <v>0.14499999999999999</v>
      </c>
      <c r="F316" s="46">
        <v>10</v>
      </c>
      <c r="G316" s="47">
        <v>60.9</v>
      </c>
      <c r="H316" s="47">
        <v>27.95</v>
      </c>
      <c r="I316" s="47">
        <v>60.3</v>
      </c>
      <c r="J316" s="47">
        <v>60.2</v>
      </c>
      <c r="K316" s="47">
        <v>56.2</v>
      </c>
      <c r="L316" s="51"/>
      <c r="M316" s="51"/>
      <c r="N316" s="51"/>
      <c r="O316" s="51"/>
      <c r="P316" s="51"/>
      <c r="Q316" s="51"/>
      <c r="R316" s="21"/>
      <c r="S316" s="21"/>
      <c r="T316" s="21"/>
      <c r="U316" s="21"/>
      <c r="V316" s="21"/>
      <c r="W316" s="21"/>
      <c r="X316" s="21"/>
      <c r="Y316" s="21"/>
    </row>
    <row r="317" spans="1:25" x14ac:dyDescent="0.25">
      <c r="A317" s="43">
        <v>288</v>
      </c>
      <c r="B317" s="40"/>
      <c r="C317" s="53">
        <f t="shared" si="42"/>
        <v>0.25</v>
      </c>
      <c r="D317" s="53">
        <f t="shared" si="43"/>
        <v>0.10500000000000001</v>
      </c>
      <c r="E317" s="54">
        <f t="shared" si="44"/>
        <v>0.14499999999999999</v>
      </c>
      <c r="F317" s="46">
        <v>10</v>
      </c>
      <c r="G317" s="47">
        <v>61</v>
      </c>
      <c r="H317" s="47">
        <v>28.049999999999997</v>
      </c>
      <c r="I317" s="47">
        <v>60.5</v>
      </c>
      <c r="J317" s="47">
        <v>60.2</v>
      </c>
      <c r="K317" s="47">
        <v>56.2</v>
      </c>
      <c r="L317" s="51"/>
      <c r="M317" s="51"/>
      <c r="N317" s="51"/>
      <c r="O317" s="51"/>
      <c r="P317" s="51"/>
      <c r="Q317" s="51"/>
      <c r="R317" s="21"/>
      <c r="S317" s="21"/>
      <c r="T317" s="21"/>
      <c r="U317" s="21"/>
      <c r="V317" s="21"/>
      <c r="W317" s="21"/>
      <c r="X317" s="21"/>
      <c r="Y317" s="21"/>
    </row>
    <row r="318" spans="1:25" x14ac:dyDescent="0.25">
      <c r="A318" s="43">
        <v>289</v>
      </c>
      <c r="B318" s="40"/>
      <c r="C318" s="53">
        <f t="shared" si="42"/>
        <v>0.25</v>
      </c>
      <c r="D318" s="53">
        <f t="shared" si="43"/>
        <v>0.10500000000000001</v>
      </c>
      <c r="E318" s="54">
        <f t="shared" si="44"/>
        <v>0.14499999999999999</v>
      </c>
      <c r="F318" s="46">
        <v>10</v>
      </c>
      <c r="G318" s="47">
        <v>61.1</v>
      </c>
      <c r="H318" s="47">
        <v>28.15</v>
      </c>
      <c r="I318" s="47">
        <v>60.6</v>
      </c>
      <c r="J318" s="47">
        <v>60.2</v>
      </c>
      <c r="K318" s="47">
        <v>56.5</v>
      </c>
      <c r="L318" s="51"/>
      <c r="M318" s="51"/>
      <c r="N318" s="51"/>
      <c r="O318" s="51"/>
      <c r="P318" s="51"/>
      <c r="Q318" s="51"/>
      <c r="R318" s="21"/>
      <c r="S318" s="21"/>
      <c r="T318" s="21"/>
      <c r="U318" s="21"/>
      <c r="V318" s="21"/>
      <c r="W318" s="21"/>
      <c r="X318" s="21"/>
      <c r="Y318" s="21"/>
    </row>
    <row r="319" spans="1:25" x14ac:dyDescent="0.25">
      <c r="A319" s="43">
        <v>290</v>
      </c>
      <c r="B319" s="40"/>
      <c r="C319" s="53">
        <f t="shared" si="42"/>
        <v>0.25</v>
      </c>
      <c r="D319" s="53">
        <f t="shared" si="43"/>
        <v>0.10500000000000001</v>
      </c>
      <c r="E319" s="54">
        <f t="shared" si="44"/>
        <v>0.14499999999999999</v>
      </c>
      <c r="F319" s="46">
        <v>10</v>
      </c>
      <c r="G319" s="47">
        <v>61.05</v>
      </c>
      <c r="H319" s="47">
        <v>28.15</v>
      </c>
      <c r="I319" s="47">
        <v>60.6</v>
      </c>
      <c r="J319" s="47">
        <v>60.2</v>
      </c>
      <c r="K319" s="47">
        <v>56.4</v>
      </c>
      <c r="L319" s="51"/>
      <c r="M319" s="51"/>
      <c r="N319" s="51"/>
      <c r="O319" s="51"/>
      <c r="P319" s="51"/>
      <c r="Q319" s="51"/>
      <c r="R319" s="21"/>
      <c r="S319" s="21"/>
      <c r="T319" s="21"/>
      <c r="U319" s="21"/>
      <c r="V319" s="21"/>
      <c r="W319" s="21"/>
      <c r="X319" s="21"/>
      <c r="Y319" s="21"/>
    </row>
    <row r="320" spans="1:25" x14ac:dyDescent="0.25">
      <c r="A320" s="40"/>
      <c r="B320" s="40"/>
      <c r="C320" s="43"/>
      <c r="D320" s="43"/>
      <c r="E320" s="43"/>
      <c r="F320" s="48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21"/>
      <c r="S320" s="21"/>
      <c r="T320" s="21"/>
      <c r="U320" s="21"/>
      <c r="V320" s="21"/>
      <c r="W320" s="21"/>
      <c r="X320" s="21"/>
      <c r="Y320" s="21"/>
    </row>
    <row r="321" spans="1:25" x14ac:dyDescent="0.25">
      <c r="A321" s="43">
        <v>291</v>
      </c>
      <c r="B321" s="43" t="s">
        <v>76</v>
      </c>
      <c r="C321" s="53">
        <f t="shared" ref="C321:C330" si="45">3/20</f>
        <v>0.15</v>
      </c>
      <c r="D321" s="53">
        <f t="shared" ref="D321:D330" si="46">2.1/20</f>
        <v>0.10500000000000001</v>
      </c>
      <c r="E321" s="54">
        <f t="shared" ref="E321:E330" si="47">C321-D321</f>
        <v>4.4999999999999984E-2</v>
      </c>
      <c r="F321" s="46">
        <v>5</v>
      </c>
      <c r="G321" s="47">
        <v>60.5</v>
      </c>
      <c r="H321" s="47">
        <v>28</v>
      </c>
      <c r="I321" s="47">
        <v>60</v>
      </c>
      <c r="J321" s="47">
        <v>59.2</v>
      </c>
      <c r="K321" s="47">
        <v>56.150000000000006</v>
      </c>
      <c r="L321" s="51"/>
      <c r="M321" s="51"/>
      <c r="N321" s="51"/>
      <c r="O321" s="51"/>
      <c r="P321" s="51"/>
      <c r="Q321" s="51"/>
      <c r="R321" s="21"/>
      <c r="S321" s="21"/>
      <c r="T321" s="21"/>
      <c r="U321" s="21"/>
      <c r="V321" s="21"/>
      <c r="W321" s="21"/>
      <c r="X321" s="21"/>
      <c r="Y321" s="21"/>
    </row>
    <row r="322" spans="1:25" x14ac:dyDescent="0.25">
      <c r="A322" s="43">
        <v>292</v>
      </c>
      <c r="B322" s="40"/>
      <c r="C322" s="53">
        <f t="shared" si="45"/>
        <v>0.15</v>
      </c>
      <c r="D322" s="53">
        <f t="shared" si="46"/>
        <v>0.10500000000000001</v>
      </c>
      <c r="E322" s="54">
        <f t="shared" si="47"/>
        <v>4.4999999999999984E-2</v>
      </c>
      <c r="F322" s="46">
        <v>5</v>
      </c>
      <c r="G322" s="47">
        <v>60.650000000000006</v>
      </c>
      <c r="H322" s="47">
        <v>27.700000000000003</v>
      </c>
      <c r="I322" s="47">
        <v>60</v>
      </c>
      <c r="J322" s="47">
        <v>59.2</v>
      </c>
      <c r="K322" s="47">
        <v>56.05</v>
      </c>
      <c r="L322" s="51"/>
      <c r="M322" s="51"/>
      <c r="N322" s="51"/>
      <c r="O322" s="51"/>
      <c r="P322" s="51"/>
      <c r="Q322" s="51"/>
      <c r="R322" s="21"/>
      <c r="S322" s="21"/>
      <c r="T322" s="21"/>
      <c r="U322" s="21"/>
      <c r="V322" s="21"/>
      <c r="W322" s="21"/>
      <c r="X322" s="21"/>
      <c r="Y322" s="21"/>
    </row>
    <row r="323" spans="1:25" x14ac:dyDescent="0.25">
      <c r="A323" s="43">
        <v>293</v>
      </c>
      <c r="B323" s="40"/>
      <c r="C323" s="53">
        <f t="shared" si="45"/>
        <v>0.15</v>
      </c>
      <c r="D323" s="53">
        <f t="shared" si="46"/>
        <v>0.10500000000000001</v>
      </c>
      <c r="E323" s="54">
        <f t="shared" si="47"/>
        <v>4.4999999999999984E-2</v>
      </c>
      <c r="F323" s="46">
        <v>5</v>
      </c>
      <c r="G323" s="47">
        <v>60.5</v>
      </c>
      <c r="H323" s="47">
        <v>27.6</v>
      </c>
      <c r="I323" s="47">
        <v>60</v>
      </c>
      <c r="J323" s="47">
        <v>59.2</v>
      </c>
      <c r="K323" s="47">
        <v>56.150000000000006</v>
      </c>
      <c r="L323" s="51"/>
      <c r="M323" s="51"/>
      <c r="N323" s="51"/>
      <c r="O323" s="51"/>
      <c r="P323" s="51"/>
      <c r="Q323" s="51"/>
      <c r="R323" s="21"/>
      <c r="S323" s="21"/>
      <c r="T323" s="21"/>
      <c r="U323" s="21"/>
      <c r="V323" s="21"/>
      <c r="W323" s="21"/>
      <c r="X323" s="21"/>
      <c r="Y323" s="21"/>
    </row>
    <row r="324" spans="1:25" x14ac:dyDescent="0.25">
      <c r="A324" s="43">
        <v>294</v>
      </c>
      <c r="B324" s="40"/>
      <c r="C324" s="53">
        <f t="shared" si="45"/>
        <v>0.15</v>
      </c>
      <c r="D324" s="53">
        <f t="shared" si="46"/>
        <v>0.10500000000000001</v>
      </c>
      <c r="E324" s="54">
        <f t="shared" si="47"/>
        <v>4.4999999999999984E-2</v>
      </c>
      <c r="F324" s="46">
        <v>5</v>
      </c>
      <c r="G324" s="47">
        <v>60.650000000000006</v>
      </c>
      <c r="H324" s="47">
        <v>27.799999999999997</v>
      </c>
      <c r="I324" s="47">
        <v>60</v>
      </c>
      <c r="J324" s="47">
        <v>59.2</v>
      </c>
      <c r="K324" s="47">
        <v>56.05</v>
      </c>
      <c r="L324" s="51"/>
      <c r="M324" s="51"/>
      <c r="N324" s="51"/>
      <c r="O324" s="51"/>
      <c r="P324" s="51"/>
      <c r="Q324" s="51"/>
      <c r="R324" s="21"/>
      <c r="S324" s="21"/>
      <c r="T324" s="21"/>
      <c r="U324" s="21"/>
      <c r="V324" s="21"/>
      <c r="W324" s="21"/>
      <c r="X324" s="21"/>
      <c r="Y324" s="21"/>
    </row>
    <row r="325" spans="1:25" x14ac:dyDescent="0.25">
      <c r="A325" s="43">
        <v>295</v>
      </c>
      <c r="B325" s="40"/>
      <c r="C325" s="53">
        <f t="shared" si="45"/>
        <v>0.15</v>
      </c>
      <c r="D325" s="53">
        <f t="shared" si="46"/>
        <v>0.10500000000000001</v>
      </c>
      <c r="E325" s="54">
        <f t="shared" si="47"/>
        <v>4.4999999999999984E-2</v>
      </c>
      <c r="F325" s="46">
        <v>5</v>
      </c>
      <c r="G325" s="47">
        <v>60.5</v>
      </c>
      <c r="H325" s="47">
        <v>28.4</v>
      </c>
      <c r="I325" s="47">
        <v>60</v>
      </c>
      <c r="J325" s="47">
        <v>59.2</v>
      </c>
      <c r="K325" s="47">
        <v>56.150000000000006</v>
      </c>
      <c r="L325" s="51"/>
      <c r="M325" s="51"/>
      <c r="N325" s="51"/>
      <c r="O325" s="51"/>
      <c r="P325" s="51"/>
      <c r="Q325" s="51"/>
      <c r="R325" s="21"/>
      <c r="S325" s="21"/>
      <c r="T325" s="21"/>
      <c r="U325" s="21"/>
      <c r="V325" s="21"/>
      <c r="W325" s="21"/>
      <c r="X325" s="21"/>
      <c r="Y325" s="21"/>
    </row>
    <row r="326" spans="1:25" x14ac:dyDescent="0.25">
      <c r="A326" s="43">
        <v>296</v>
      </c>
      <c r="B326" s="40"/>
      <c r="C326" s="53">
        <f t="shared" si="45"/>
        <v>0.15</v>
      </c>
      <c r="D326" s="53">
        <f t="shared" si="46"/>
        <v>0.10500000000000001</v>
      </c>
      <c r="E326" s="54">
        <f t="shared" si="47"/>
        <v>4.4999999999999984E-2</v>
      </c>
      <c r="F326" s="46">
        <v>5</v>
      </c>
      <c r="G326" s="47">
        <v>60.650000000000006</v>
      </c>
      <c r="H326" s="47">
        <v>28.2</v>
      </c>
      <c r="I326" s="47">
        <v>60</v>
      </c>
      <c r="J326" s="47">
        <v>59.2</v>
      </c>
      <c r="K326" s="47">
        <v>56.150000000000006</v>
      </c>
      <c r="L326" s="51"/>
      <c r="M326" s="51"/>
      <c r="N326" s="51"/>
      <c r="O326" s="51"/>
      <c r="P326" s="51"/>
      <c r="Q326" s="51"/>
      <c r="R326" s="21"/>
      <c r="S326" s="21"/>
      <c r="T326" s="21"/>
      <c r="U326" s="21"/>
      <c r="V326" s="21"/>
      <c r="W326" s="21"/>
      <c r="X326" s="21"/>
      <c r="Y326" s="21"/>
    </row>
    <row r="327" spans="1:25" x14ac:dyDescent="0.25">
      <c r="A327" s="43">
        <v>297</v>
      </c>
      <c r="B327" s="40"/>
      <c r="C327" s="53">
        <f t="shared" si="45"/>
        <v>0.15</v>
      </c>
      <c r="D327" s="53">
        <f t="shared" si="46"/>
        <v>0.10500000000000001</v>
      </c>
      <c r="E327" s="54">
        <f t="shared" si="47"/>
        <v>4.4999999999999984E-2</v>
      </c>
      <c r="F327" s="46">
        <v>5</v>
      </c>
      <c r="G327" s="47">
        <v>60.6</v>
      </c>
      <c r="H327" s="47">
        <v>28.5</v>
      </c>
      <c r="I327" s="47">
        <v>60</v>
      </c>
      <c r="J327" s="47">
        <v>59.2</v>
      </c>
      <c r="K327" s="47">
        <v>56.05</v>
      </c>
      <c r="L327" s="51"/>
      <c r="M327" s="51"/>
      <c r="N327" s="51"/>
      <c r="O327" s="51"/>
      <c r="P327" s="51"/>
      <c r="Q327" s="51"/>
      <c r="R327" s="21"/>
      <c r="S327" s="21"/>
      <c r="T327" s="21"/>
      <c r="U327" s="21"/>
      <c r="V327" s="21"/>
      <c r="W327" s="21"/>
      <c r="X327" s="21"/>
      <c r="Y327" s="21"/>
    </row>
    <row r="328" spans="1:25" x14ac:dyDescent="0.25">
      <c r="A328" s="43">
        <v>298</v>
      </c>
      <c r="B328" s="40"/>
      <c r="C328" s="53">
        <f t="shared" si="45"/>
        <v>0.15</v>
      </c>
      <c r="D328" s="53">
        <f t="shared" si="46"/>
        <v>0.10500000000000001</v>
      </c>
      <c r="E328" s="54">
        <f t="shared" si="47"/>
        <v>4.4999999999999984E-2</v>
      </c>
      <c r="F328" s="46">
        <v>5</v>
      </c>
      <c r="G328" s="47">
        <v>60.8</v>
      </c>
      <c r="H328" s="47">
        <v>28.5</v>
      </c>
      <c r="I328" s="47">
        <v>60.3</v>
      </c>
      <c r="J328" s="47">
        <v>59.5</v>
      </c>
      <c r="K328" s="47">
        <v>56.150000000000006</v>
      </c>
      <c r="L328" s="51"/>
      <c r="M328" s="51"/>
      <c r="N328" s="51"/>
      <c r="O328" s="51"/>
      <c r="P328" s="51"/>
      <c r="Q328" s="51"/>
      <c r="R328" s="21"/>
      <c r="S328" s="21"/>
      <c r="T328" s="21"/>
      <c r="U328" s="21"/>
      <c r="V328" s="21"/>
      <c r="W328" s="21"/>
      <c r="X328" s="21"/>
      <c r="Y328" s="21"/>
    </row>
    <row r="329" spans="1:25" x14ac:dyDescent="0.25">
      <c r="A329" s="43">
        <v>299</v>
      </c>
      <c r="B329" s="40"/>
      <c r="C329" s="53">
        <f t="shared" si="45"/>
        <v>0.15</v>
      </c>
      <c r="D329" s="53">
        <f t="shared" si="46"/>
        <v>0.10500000000000001</v>
      </c>
      <c r="E329" s="54">
        <f t="shared" si="47"/>
        <v>4.4999999999999984E-2</v>
      </c>
      <c r="F329" s="46">
        <v>5</v>
      </c>
      <c r="G329" s="47">
        <v>60.65</v>
      </c>
      <c r="H329" s="47">
        <v>28</v>
      </c>
      <c r="I329" s="47">
        <v>60.3</v>
      </c>
      <c r="J329" s="47">
        <v>59.5</v>
      </c>
      <c r="K329" s="47">
        <v>56.349999999999994</v>
      </c>
      <c r="L329" s="51"/>
      <c r="M329" s="51"/>
      <c r="N329" s="51"/>
      <c r="O329" s="51"/>
      <c r="P329" s="51"/>
      <c r="Q329" s="51"/>
      <c r="R329" s="21"/>
      <c r="S329" s="21"/>
      <c r="T329" s="21"/>
      <c r="U329" s="21"/>
      <c r="V329" s="21"/>
      <c r="W329" s="21"/>
      <c r="X329" s="21"/>
      <c r="Y329" s="21"/>
    </row>
    <row r="330" spans="1:25" x14ac:dyDescent="0.25">
      <c r="A330" s="43">
        <v>300</v>
      </c>
      <c r="B330" s="40"/>
      <c r="C330" s="53">
        <f t="shared" si="45"/>
        <v>0.15</v>
      </c>
      <c r="D330" s="53">
        <f t="shared" si="46"/>
        <v>0.10500000000000001</v>
      </c>
      <c r="E330" s="54">
        <f t="shared" si="47"/>
        <v>4.4999999999999984E-2</v>
      </c>
      <c r="F330" s="46">
        <v>5</v>
      </c>
      <c r="G330" s="47">
        <v>60.7</v>
      </c>
      <c r="H330" s="47">
        <v>27.75</v>
      </c>
      <c r="I330" s="47">
        <v>60.3</v>
      </c>
      <c r="J330" s="47">
        <v>59.5</v>
      </c>
      <c r="K330" s="47">
        <v>56.25</v>
      </c>
      <c r="L330" s="51"/>
      <c r="M330" s="51"/>
      <c r="N330" s="51"/>
      <c r="O330" s="51"/>
      <c r="P330" s="51"/>
      <c r="Q330" s="51"/>
      <c r="R330" s="21"/>
      <c r="S330" s="21"/>
      <c r="T330" s="21"/>
      <c r="U330" s="21"/>
      <c r="V330" s="21"/>
      <c r="W330" s="21"/>
      <c r="X330" s="21"/>
      <c r="Y330" s="21"/>
    </row>
    <row r="331" spans="1:25" x14ac:dyDescent="0.25">
      <c r="A331" s="21"/>
      <c r="B331" s="21"/>
      <c r="C331" s="16"/>
      <c r="D331" s="16"/>
      <c r="E331" s="16"/>
      <c r="F331" s="27"/>
      <c r="G331" s="21"/>
      <c r="H331" s="21"/>
      <c r="I331" s="16"/>
      <c r="J331" s="16"/>
      <c r="K331" s="16"/>
      <c r="L331" s="16"/>
      <c r="M331" s="16"/>
      <c r="N331" s="55"/>
      <c r="O331" s="56"/>
      <c r="P331" s="56"/>
      <c r="Q331" s="56"/>
      <c r="R331" s="21"/>
      <c r="S331" s="21"/>
      <c r="T331" s="21"/>
      <c r="U331" s="21"/>
      <c r="V331" s="21"/>
      <c r="W331" s="21"/>
      <c r="X331" s="21"/>
      <c r="Y331" s="21"/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Variations</vt:lpstr>
      <vt:lpstr>50 MM</vt:lpstr>
      <vt:lpstr>100 MM</vt:lpstr>
      <vt:lpstr>150 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2025-11-15T01:59:11Z</dcterms:modified>
</cp:coreProperties>
</file>